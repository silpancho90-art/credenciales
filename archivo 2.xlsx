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DASHBOARD" sheetId="2" r:id="rId5"/>
    <sheet state="visible" name="BUSCADOR" sheetId="3" r:id="rId6"/>
    <sheet state="visible" name="INVENTARIO_GENERAL" sheetId="4" r:id="rId7"/>
    <sheet state="visible" name="PERSONAL" sheetId="5" r:id="rId8"/>
    <sheet state="visible" name="MOVIMIENTOS" sheetId="6" r:id="rId9"/>
    <sheet state="visible" name="PARAMETROS" sheetId="7" r:id="rId10"/>
    <sheet state="hidden" name="MOTOR_DASHBOARD" sheetId="8" r:id="rId11"/>
  </sheets>
  <definedNames>
    <definedName name="val_fEst">MOTOR_DASHBOARD!$W$4:$W$8</definedName>
    <definedName name="val_Rol">PARAMETROS!$C$5:$C$6</definedName>
    <definedName name="val_EstadoPersona">PARAMETROS!$B$5:$B$6</definedName>
    <definedName name="val_fSup">MOTOR_DASHBOARD!$V$4:$V$20</definedName>
    <definedName name="val_Supervisor">PARAMETROS!$G$5:$G$20</definedName>
    <definedName name="val_fReg">MOTOR_DASHBOARD!$U$4:$U$10</definedName>
    <definedName name="val_TipoMov">PARAMETROS!$E$5:$E$13</definedName>
    <definedName name="val_fMes">MOTOR_DASHBOARD!$X$4:$X$16</definedName>
    <definedName name="val_Generacion">PARAMETROS!$F$5:$F$6</definedName>
    <definedName name="val_Regional">PARAMETROS!$A$5:$A$10</definedName>
    <definedName name="val_EstadoCred">PARAMETROS!$D$5:$D$8</definedName>
  </definedNames>
  <calcPr/>
  <extLst>
    <ext uri="GoogleSheetsCustomDataVersion2">
      <go:sheetsCustomData xmlns:go="http://customooxmlschemas.google.com/" r:id="rId12" roundtripDataChecksum="Pi/Jk5EFRqlL6eFXyFADyCtVnRiz9qmjzycB1QVUojA="/>
    </ext>
  </extLst>
</workbook>
</file>

<file path=xl/sharedStrings.xml><?xml version="1.0" encoding="utf-8"?>
<sst xmlns="http://schemas.openxmlformats.org/spreadsheetml/2006/main" count="3063" uniqueCount="560">
  <si>
    <t>SISTEMA BEX  -  CONTROL DE CREDENCIALES</t>
  </si>
  <si>
    <t>?  COMO USAR ESTE ARCHIVO</t>
  </si>
  <si>
    <t>Sistema integrado y automatico. Ingrese datos solo en MOVIMIENTOS, PERSONAL e INVENTARIO_GENERAL. El DASHBOARD, el BUSCADOR y los indicadores se calculan solos. Use los botones para navegar.</t>
  </si>
  <si>
    <t>NAVEGACION</t>
  </si>
  <si>
    <t>Ir a DASHBOARD</t>
  </si>
  <si>
    <t>Indicadores, graficos y filtros</t>
  </si>
  <si>
    <t>Ir a BUSCADOR</t>
  </si>
  <si>
    <t>Buscar credencial por codigo, nombre o telefono</t>
  </si>
  <si>
    <t>Ir a INVENTARIO_GENERAL</t>
  </si>
  <si>
    <t>Fuente central: todas las credenciales</t>
  </si>
  <si>
    <t>Ir a PERSONAL</t>
  </si>
  <si>
    <t>Tabla maestra de personas</t>
  </si>
  <si>
    <t>Ir a MOVIMIENTOS</t>
  </si>
  <si>
    <t>Historial de eventos (entradas/salidas)</t>
  </si>
  <si>
    <t>Ir a PARAMETROS</t>
  </si>
  <si>
    <t>Listas maestras del sistema</t>
  </si>
  <si>
    <t>RESUMEN RAPIDO</t>
  </si>
  <si>
    <t>Total credenciales</t>
  </si>
  <si>
    <t>Asignadas</t>
  </si>
  <si>
    <t>Disponibles</t>
  </si>
  <si>
    <t>Perdidas</t>
  </si>
  <si>
    <t>Total personal</t>
  </si>
  <si>
    <t>DASHBOARD EJECUTIVO  -  Control de Credenciales BEX</t>
  </si>
  <si>
    <t>?  COMO USAR ESTA HOJA</t>
  </si>
  <si>
    <t>Todos los indicadores se calculan solos desde INVENTARIO_GENERAL y MOVIMIENTOS. Al final de la hoja hay un PANEL DE FILTROS (menus desplegables) que actua como segmentadores. Los graficos se actualizan automaticamente.</t>
  </si>
  <si>
    <t>INDICADORES CLAVE</t>
  </si>
  <si>
    <t>TOTAL CREDENCIALES</t>
  </si>
  <si>
    <t>ASIGNADAS</t>
  </si>
  <si>
    <t>DISPONIBLES</t>
  </si>
  <si>
    <t>POR ASIGNAR</t>
  </si>
  <si>
    <t>PERDIDAS</t>
  </si>
  <si>
    <t>DEVUELTAS</t>
  </si>
  <si>
    <t>STOCK EN OFICINA</t>
  </si>
  <si>
    <t>STOCK EN USO</t>
  </si>
  <si>
    <t>PERSONAL ACTIVO</t>
  </si>
  <si>
    <t>SUPERVISORES</t>
  </si>
  <si>
    <t>CREDENCIALES POR REGIONAL</t>
  </si>
  <si>
    <t>DISTRIBUCION POR ESTADO</t>
  </si>
  <si>
    <t>Regional</t>
  </si>
  <si>
    <t>Cantidad</t>
  </si>
  <si>
    <t>Estado</t>
  </si>
  <si>
    <t>ULTIMOS MOVIMIENTOS REGISTRADOS</t>
  </si>
  <si>
    <t>ID_Movimiento</t>
  </si>
  <si>
    <t>Fecha</t>
  </si>
  <si>
    <t>Tipo_Movimiento</t>
  </si>
  <si>
    <t>Codigo_Activo</t>
  </si>
  <si>
    <t>Nombre</t>
  </si>
  <si>
    <t>Supervisor</t>
  </si>
  <si>
    <t>PANEL DE FILTROS INTERACTIVOS  (funcionan como segmentadores)</t>
  </si>
  <si>
    <t>Regional:</t>
  </si>
  <si>
    <t>(TODOS)</t>
  </si>
  <si>
    <t>Supervisor:</t>
  </si>
  <si>
    <t>Estado:</t>
  </si>
  <si>
    <t>En filtro:</t>
  </si>
  <si>
    <t>RESULTADO FILTRADO (primeras 30 filas; cambie los menus de arriba)</t>
  </si>
  <si>
    <t>Tipo_Credencial</t>
  </si>
  <si>
    <t>Estado_Actual</t>
  </si>
  <si>
    <t>Responsable_Actual</t>
  </si>
  <si>
    <t>Telefono</t>
  </si>
  <si>
    <t>Fecha_Ultima_Asignacion</t>
  </si>
  <si>
    <t>Fecha_Ultima_Devolucion</t>
  </si>
  <si>
    <t>Cantidad_Perdidas</t>
  </si>
  <si>
    <t>Dias_En_Uso</t>
  </si>
  <si>
    <t>Observaciones</t>
  </si>
  <si>
    <t>BUSCADOR INTELIGENTE  -  Sistema BEX</t>
  </si>
  <si>
    <t>Escriba un codigo BEX en C5 (ej: BEX-0152) o un nombre/telefono en C6. Los resultados y el historial se muestran automaticamente. Si esta en oficina vera DISPONIBLE EN OFICINA; si se perdio, PERDIDA.</t>
  </si>
  <si>
    <t>BUSCAR POR CODIGO BEX:</t>
  </si>
  <si>
    <t>BEX-0151</t>
  </si>
  <si>
    <t>BUSCAR POR NOMBRE / TELEFONO:</t>
  </si>
  <si>
    <t>JORGE SAAVEDRA</t>
  </si>
  <si>
    <t>RESULTADO  -  BUSQUEDA POR CODIGO BEX</t>
  </si>
  <si>
    <t>CODIGO BEX:</t>
  </si>
  <si>
    <t>TIPO DE CREDENCIAL:</t>
  </si>
  <si>
    <t>ESTADO ACTUAL:</t>
  </si>
  <si>
    <t>RESPONSABLE ACTUAL:</t>
  </si>
  <si>
    <t>TELEFONO:</t>
  </si>
  <si>
    <t>SUPERVISOR:</t>
  </si>
  <si>
    <t>REGIONAL:</t>
  </si>
  <si>
    <t>FECHA ASIGNACION:</t>
  </si>
  <si>
    <t>FECHA DEVOLUCION:</t>
  </si>
  <si>
    <t>CANTIDAD PERDIDAS:</t>
  </si>
  <si>
    <t>OBSERVACIONES:</t>
  </si>
  <si>
    <t>RESULTADO  -  BUSQUEDA POR NOMBRE / TELEFONO</t>
  </si>
  <si>
    <t>NOMBRE COMPLETO:</t>
  </si>
  <si>
    <t>ROL:</t>
  </si>
  <si>
    <t>ESTADO:</t>
  </si>
  <si>
    <t>CREDENCIAL ACTUAL:</t>
  </si>
  <si>
    <t>HISTORIAL DE MOVIMIENTOS DE LA CREDENCIAL (codigo en C5)</t>
  </si>
  <si>
    <t>INVENTARIO GENERAL  -  Fuente central del sistema</t>
  </si>
  <si>
    <t>Cada credencial BEX aparece UNA sola vez. Las columnas en azul (Telefono, fechas, perdidas, dias) se calculan solas desde MOVIMIENTOS. Cambie Estado/Responsable y todo el sistema se actualiza.</t>
  </si>
  <si>
    <t>BEX-0011</t>
  </si>
  <si>
    <t>LEGACY (BEX-0xxx)</t>
  </si>
  <si>
    <t>ASIGNADO</t>
  </si>
  <si>
    <t>VLADIMIR SUTURI TOCOCARI</t>
  </si>
  <si>
    <t>PAMELA FANNY CALANI LAURA</t>
  </si>
  <si>
    <t>COCHABAMBA</t>
  </si>
  <si>
    <t/>
  </si>
  <si>
    <t>BEX-0012</t>
  </si>
  <si>
    <t>ROSIELVA ALDANA</t>
  </si>
  <si>
    <t>BEX-0013</t>
  </si>
  <si>
    <t>VANIA GRAGEDA ESPINOZA</t>
  </si>
  <si>
    <t>BEX-0014</t>
  </si>
  <si>
    <t>ALAN GUSTAVO ARNEZ TORO</t>
  </si>
  <si>
    <t>BEX-0015</t>
  </si>
  <si>
    <t>DISPONIBLE</t>
  </si>
  <si>
    <t>NO ASIGNADO</t>
  </si>
  <si>
    <t>BEX-0017</t>
  </si>
  <si>
    <t>BEX-0018</t>
  </si>
  <si>
    <t>DIEGO ARMANDO COLQUE COLQUE</t>
  </si>
  <si>
    <t>BEX-0020</t>
  </si>
  <si>
    <t>JHOJAN JAIRO CALLAHUARA CHOQUE</t>
  </si>
  <si>
    <t>BEX-0023</t>
  </si>
  <si>
    <t>PABLO SANTIAGO PEREZ NAVA</t>
  </si>
  <si>
    <t>BEX-0027</t>
  </si>
  <si>
    <t>JHENIFER LUCERO SERRUDO LLAMPA</t>
  </si>
  <si>
    <t>JENNY CRISTINA ECHALAR MONTALVO</t>
  </si>
  <si>
    <t>SUCRE</t>
  </si>
  <si>
    <t>BEX-0033</t>
  </si>
  <si>
    <t>BEX-0057</t>
  </si>
  <si>
    <t>CALEB HERNAN FLORES FLORES</t>
  </si>
  <si>
    <t>BEX-0106</t>
  </si>
  <si>
    <t>JHOSEP SHARUM QUISBERT</t>
  </si>
  <si>
    <t>GERCY EVER ERGUETA KIPPES</t>
  </si>
  <si>
    <t>LA PAZ</t>
  </si>
  <si>
    <t>BEX-0107</t>
  </si>
  <si>
    <t>CAMILA LOZA MERINO</t>
  </si>
  <si>
    <t>BEX-0109</t>
  </si>
  <si>
    <t>JHOANA IVETH VARGAS COPA</t>
  </si>
  <si>
    <t>JOEL DAVID HUANCA HUANCA</t>
  </si>
  <si>
    <t>BEX-0111</t>
  </si>
  <si>
    <t>WILSON ALFREDO MACHACA CALCINA</t>
  </si>
  <si>
    <t>BEX-0112</t>
  </si>
  <si>
    <t>EIMI SONIA CHUQUIMIA CHAIRA</t>
  </si>
  <si>
    <t>CLAUDIA SHASKIA CALLE NINA</t>
  </si>
  <si>
    <t>BEX-0113</t>
  </si>
  <si>
    <t>MIRIAM ROSA CHAMBI QUISPE</t>
  </si>
  <si>
    <t>ORURO</t>
  </si>
  <si>
    <t>BEX-0114</t>
  </si>
  <si>
    <t>LUZ MARIBEL VIRACA TAQUIMALLCO</t>
  </si>
  <si>
    <t>BEX-0115</t>
  </si>
  <si>
    <t>ZULMA FLORES CARICARI</t>
  </si>
  <si>
    <t>BEX-0116</t>
  </si>
  <si>
    <t>GIMENA MELVIS HUANCA GOMEZ</t>
  </si>
  <si>
    <t>BEX-0117</t>
  </si>
  <si>
    <t>RICHAR YAMIL AVAREZ CANAVIRI</t>
  </si>
  <si>
    <t>BEX-0118</t>
  </si>
  <si>
    <t>CRUZ TORRICO TATIANA CRISTINA</t>
  </si>
  <si>
    <t>BEX-0119</t>
  </si>
  <si>
    <t>CAROLINA KIMBERLY QUISPE ARANCIBIA</t>
  </si>
  <si>
    <t>BEX-0120</t>
  </si>
  <si>
    <t>RUBEN ANTONIO HINOJOSA TUPA</t>
  </si>
  <si>
    <t>BEX-0124</t>
  </si>
  <si>
    <t>MARIA ELENA PERALTA JORDAN</t>
  </si>
  <si>
    <t>MILENKO ADRIANA ORDONEZ NUNEZ</t>
  </si>
  <si>
    <t>BEX-0126</t>
  </si>
  <si>
    <t>EDDY HERLAND ESPINOZA CHOQUE</t>
  </si>
  <si>
    <t>BEX-0145</t>
  </si>
  <si>
    <t>LUIS ANGEL SIHUAIROS CANO</t>
  </si>
  <si>
    <t>BEX-0148</t>
  </si>
  <si>
    <t>GABRIELA GARCIA AREVALO</t>
  </si>
  <si>
    <t>BEX-0150</t>
  </si>
  <si>
    <t>RENE NUNEZ SOLIS</t>
  </si>
  <si>
    <t>SAMIEL ARTURO TORRICOS VILLARREAL</t>
  </si>
  <si>
    <t xml:space="preserve">Credencial antiguo </t>
  </si>
  <si>
    <t>BEX-0152</t>
  </si>
  <si>
    <t>BRUNO ROCHA PEREIRA</t>
  </si>
  <si>
    <t>HASIRA DANIELA OSINAGA CHOQUE</t>
  </si>
  <si>
    <t>BEX-0155</t>
  </si>
  <si>
    <t>CRISTIAN JAVIER MORALES REYES</t>
  </si>
  <si>
    <t>BEX-0156</t>
  </si>
  <si>
    <t>JORGE LUIS PEDRAZA</t>
  </si>
  <si>
    <t>BEX-0158</t>
  </si>
  <si>
    <t>BEX-0162</t>
  </si>
  <si>
    <t>AARON PEDRO CHUQUIMIA CHAIRA</t>
  </si>
  <si>
    <t>Normalizado de BEX-162</t>
  </si>
  <si>
    <t>BEX-0166</t>
  </si>
  <si>
    <t>KATTERIN VANESA MEDRANO ESPEJO</t>
  </si>
  <si>
    <t>BEX-0167</t>
  </si>
  <si>
    <t>ADRIANA ALEJANDRA AREVALO HERBAS</t>
  </si>
  <si>
    <t>BEX-0169</t>
  </si>
  <si>
    <t>MIGUEL ANGEL BLANCO RONDO</t>
  </si>
  <si>
    <t>BEX-0176</t>
  </si>
  <si>
    <t>CLAUDIA SHASKIA CALLE NINA / REYNA IVONNE CALLE NINA</t>
  </si>
  <si>
    <t>⚠️ DUPLICADO CRITICO: Mismo codigo asignado a 2 personas</t>
  </si>
  <si>
    <t>BEX-0179</t>
  </si>
  <si>
    <t>MARIA EMILIA HUAYLLA ALMANZA</t>
  </si>
  <si>
    <t>BEX-0184</t>
  </si>
  <si>
    <t>DARING ACARAPI MAMANI</t>
  </si>
  <si>
    <t>Normalizado de BEX-184</t>
  </si>
  <si>
    <t>BEX-0186</t>
  </si>
  <si>
    <t>DANIELA ANDREA VARGAS AREVALO</t>
  </si>
  <si>
    <t>BEX-0187</t>
  </si>
  <si>
    <t>VANESSA ILLANES YUJRA</t>
  </si>
  <si>
    <t>BEX-0192</t>
  </si>
  <si>
    <t>FRANZ RODRIGO LEVANDRO PANUNI</t>
  </si>
  <si>
    <t>BEX-0195</t>
  </si>
  <si>
    <t>LORENA (INACTIVO)</t>
  </si>
  <si>
    <t>BEATRIZ OVIEDO OVIEDO</t>
  </si>
  <si>
    <t>SANTA CRUZ</t>
  </si>
  <si>
    <t>Persona inactiva - nombre incompleto</t>
  </si>
  <si>
    <t>BEX-0196</t>
  </si>
  <si>
    <t>BEX-0198</t>
  </si>
  <si>
    <t>Normalizado de BEX-198</t>
  </si>
  <si>
    <t>BEX-0298</t>
  </si>
  <si>
    <t>BEX-0368</t>
  </si>
  <si>
    <t>DANIELA LUCERO FLAVIA MIRANDA</t>
  </si>
  <si>
    <t>BEX-0501</t>
  </si>
  <si>
    <t>LUIS FERNANDO ARAGUIRA CHAMO</t>
  </si>
  <si>
    <t>BEX-0505</t>
  </si>
  <si>
    <t>TOMAS (NOMBRE INCOMPLETO)</t>
  </si>
  <si>
    <t>Completar nombre</t>
  </si>
  <si>
    <t>BEX-0510</t>
  </si>
  <si>
    <t>JIMENA RIVERO LOAYZA</t>
  </si>
  <si>
    <t>BEX-0511</t>
  </si>
  <si>
    <t>EVELYN CARMELA ESPINOZA CASTRO</t>
  </si>
  <si>
    <t>BEX-0513</t>
  </si>
  <si>
    <t>DANIEL GUTIERREZ PEDRAZA</t>
  </si>
  <si>
    <t>JOSE GUTIERREZ PEDRAZA</t>
  </si>
  <si>
    <t>BEX-0514</t>
  </si>
  <si>
    <t>DAYANA CELENCA CHACON PINTO</t>
  </si>
  <si>
    <t>BEX-0517</t>
  </si>
  <si>
    <t>SARAI VANESA TERAN GONZALES</t>
  </si>
  <si>
    <t>BEX-0518</t>
  </si>
  <si>
    <t>PERDIDO</t>
  </si>
  <si>
    <t>MARCO ANTONIO ESCOBAR ALVAREZ</t>
  </si>
  <si>
    <t>Reportada como perdida - COBRAR AL GESTOR</t>
  </si>
  <si>
    <t>BEX-0519</t>
  </si>
  <si>
    <t>DANIELA ASCARRAGA DOMINGUEZ</t>
  </si>
  <si>
    <t>BEX-0520</t>
  </si>
  <si>
    <t>KAREN LOPEZ CASTEDO</t>
  </si>
  <si>
    <t>BEX-0522</t>
  </si>
  <si>
    <t>JOHANNA CASSANDRA CHAVEZ VALERIANO</t>
  </si>
  <si>
    <t>BEX-0525</t>
  </si>
  <si>
    <t>MARCELO RIVAS MARIN</t>
  </si>
  <si>
    <t>BEX-0527</t>
  </si>
  <si>
    <t>VERONICA NUNEZ PICHA</t>
  </si>
  <si>
    <t>Normalizado de BEX-527</t>
  </si>
  <si>
    <t>BEX-0528</t>
  </si>
  <si>
    <t>HEYDY DAYANA PUTARE MACHACA</t>
  </si>
  <si>
    <t>BEX-0532</t>
  </si>
  <si>
    <t>JOSE OLAF ROJAS CONDARCO</t>
  </si>
  <si>
    <t>BEX-0533</t>
  </si>
  <si>
    <t>LAURA ANDREA TRIBENO GUTIERREZ</t>
  </si>
  <si>
    <t>BEX-0172</t>
  </si>
  <si>
    <t>EN OFICINA</t>
  </si>
  <si>
    <t>BEX-0174</t>
  </si>
  <si>
    <t>BEX-0193</t>
  </si>
  <si>
    <t>BEX-0194</t>
  </si>
  <si>
    <t>YESSENIA ALVAREZ VARGAS</t>
  </si>
  <si>
    <t>BEX-0197</t>
  </si>
  <si>
    <t>GIULIANA GUATIA</t>
  </si>
  <si>
    <t>BEX-0199</t>
  </si>
  <si>
    <t>BEX-0200</t>
  </si>
  <si>
    <t>BEX-0509</t>
  </si>
  <si>
    <t>BEX-0529</t>
  </si>
  <si>
    <t>BEX-0535</t>
  </si>
  <si>
    <t>BEX-2000</t>
  </si>
  <si>
    <t>NUEVA (BEX-2xxx)</t>
  </si>
  <si>
    <t>BEX-2001</t>
  </si>
  <si>
    <t>DIANA HERRERA DORADO</t>
  </si>
  <si>
    <t>DELIA JORDAN FACUSSE</t>
  </si>
  <si>
    <t>Sin asignacion fisica</t>
  </si>
  <si>
    <t>BEX-2002</t>
  </si>
  <si>
    <t>EIBRAJAM ANEZ ROJAS</t>
  </si>
  <si>
    <t>BEX-2003</t>
  </si>
  <si>
    <t>TOMAS JERSON MERCADO YPORRE</t>
  </si>
  <si>
    <t>BEX-2004</t>
  </si>
  <si>
    <t>RODRIGO VACA JUSTINIANO</t>
  </si>
  <si>
    <t>BEX-2005</t>
  </si>
  <si>
    <t>GABRIELA QUINONES YPORRE</t>
  </si>
  <si>
    <t>BEX-2006</t>
  </si>
  <si>
    <t>DIEGO GUTIERREZ PEDRAZA</t>
  </si>
  <si>
    <t>BEX-2007</t>
  </si>
  <si>
    <t>BEX-2008</t>
  </si>
  <si>
    <t>VICTOR HUGO LINO BALDIVIESO</t>
  </si>
  <si>
    <t>BEX-2009</t>
  </si>
  <si>
    <t>SELMA (NUEVA)</t>
  </si>
  <si>
    <t>BEX-2010</t>
  </si>
  <si>
    <t>ANA PAOLA REQUE PALMA</t>
  </si>
  <si>
    <t>MARIA FERNANDA DAZA PALMA</t>
  </si>
  <si>
    <t>TARIJA</t>
  </si>
  <si>
    <t>Credenciales enviados</t>
  </si>
  <si>
    <t>BEX-2011</t>
  </si>
  <si>
    <t>ANA PATRICIA ALFARO MENDEZ</t>
  </si>
  <si>
    <t>BEX-2012</t>
  </si>
  <si>
    <t>CRISTHIAN EDUARDO CHAVEZ ROMERO</t>
  </si>
  <si>
    <t>BEX-2013</t>
  </si>
  <si>
    <t>MERCEDES CRUZ RUEDA</t>
  </si>
  <si>
    <t>BEX-2014</t>
  </si>
  <si>
    <t>PAULA VALDEZ FLORES</t>
  </si>
  <si>
    <t>BEX-2015</t>
  </si>
  <si>
    <t>YENY GRACIELA FERNANDEZ SANCHEZ</t>
  </si>
  <si>
    <t>BEX-2016</t>
  </si>
  <si>
    <t>BEX-2017</t>
  </si>
  <si>
    <t>LIONEL CHABUR</t>
  </si>
  <si>
    <t>BEX-2018</t>
  </si>
  <si>
    <t>BEX-2019</t>
  </si>
  <si>
    <t>BEX-2020</t>
  </si>
  <si>
    <t>BEX-2021</t>
  </si>
  <si>
    <t>BEX-2022</t>
  </si>
  <si>
    <t>BEX-2023</t>
  </si>
  <si>
    <t>BEX-2024</t>
  </si>
  <si>
    <t>BEX-2025</t>
  </si>
  <si>
    <t>BEX-2026</t>
  </si>
  <si>
    <t>BEX-2027</t>
  </si>
  <si>
    <t>NATALIA VILLARROEL</t>
  </si>
  <si>
    <t>BEX-2028</t>
  </si>
  <si>
    <t>BEX-2029</t>
  </si>
  <si>
    <t>BEX-2030</t>
  </si>
  <si>
    <t>BEX-2031</t>
  </si>
  <si>
    <t>BEX-2032</t>
  </si>
  <si>
    <t>BEX-2033</t>
  </si>
  <si>
    <t>BEX-2034</t>
  </si>
  <si>
    <t>BEX-2035</t>
  </si>
  <si>
    <t>BEX-2036</t>
  </si>
  <si>
    <t>BEX-2037</t>
  </si>
  <si>
    <t>ALEXIA MICAELA ERGUETA ALIAGA</t>
  </si>
  <si>
    <t>BEX-2038</t>
  </si>
  <si>
    <t>BEX-2039</t>
  </si>
  <si>
    <t>CESAR OSCAR LAURA CHUYMA</t>
  </si>
  <si>
    <t>BEX-2040</t>
  </si>
  <si>
    <t>BEX-2041</t>
  </si>
  <si>
    <t>RUTH CELINA PONCE PACO</t>
  </si>
  <si>
    <t>BEX-2042</t>
  </si>
  <si>
    <t>SILVANA ASUNCION ORDONEZ NUNEZ</t>
  </si>
  <si>
    <t>BEX-2043</t>
  </si>
  <si>
    <t>ADILSON ALMANZA GOMEZ</t>
  </si>
  <si>
    <t>BEX-2044</t>
  </si>
  <si>
    <t>ARACELI MARLENE TAPIA GUERRA</t>
  </si>
  <si>
    <t>BEX-2045</t>
  </si>
  <si>
    <t>BRENDA XIMENA BARBA VACA</t>
  </si>
  <si>
    <t>Reposicion por perdida de credencial anterior</t>
  </si>
  <si>
    <t>BEX-2046</t>
  </si>
  <si>
    <t>Reposicion - Perdio BEX-0518</t>
  </si>
  <si>
    <t>BEX-2047</t>
  </si>
  <si>
    <t>BEX-2048</t>
  </si>
  <si>
    <t>BEX-2049</t>
  </si>
  <si>
    <t>BEX-2050</t>
  </si>
  <si>
    <t>BEX-2051</t>
  </si>
  <si>
    <t>Stock en oficina - recepcionado</t>
  </si>
  <si>
    <t>BEX-2052</t>
  </si>
  <si>
    <t>BEX-2053</t>
  </si>
  <si>
    <t>BEX-2054</t>
  </si>
  <si>
    <t>BEX-2055</t>
  </si>
  <si>
    <t>BEX-2056</t>
  </si>
  <si>
    <t>BEX-2057</t>
  </si>
  <si>
    <t>BEX-2058</t>
  </si>
  <si>
    <t>BEX-2059</t>
  </si>
  <si>
    <t>BEX-2060</t>
  </si>
  <si>
    <t>BEX-2061</t>
  </si>
  <si>
    <t>BEX-2062</t>
  </si>
  <si>
    <t>BEX-2063</t>
  </si>
  <si>
    <t>BEX-2064</t>
  </si>
  <si>
    <t>BEX-2065</t>
  </si>
  <si>
    <t>BEX-2066</t>
  </si>
  <si>
    <t>BEX-2067</t>
  </si>
  <si>
    <t>BEX-2068</t>
  </si>
  <si>
    <t>BEX-2069</t>
  </si>
  <si>
    <t>BEX-2070</t>
  </si>
  <si>
    <t>BEX-2071</t>
  </si>
  <si>
    <t>BEX-2072</t>
  </si>
  <si>
    <t>BEX-2073</t>
  </si>
  <si>
    <t>BEX-2074</t>
  </si>
  <si>
    <t>BEX-2075</t>
  </si>
  <si>
    <t>BEX-2076</t>
  </si>
  <si>
    <t>BEX-2077</t>
  </si>
  <si>
    <t>BEX-2078</t>
  </si>
  <si>
    <t>BEX-2079</t>
  </si>
  <si>
    <t>BEX-2080</t>
  </si>
  <si>
    <t>BEX-2081</t>
  </si>
  <si>
    <t>BEX-2082</t>
  </si>
  <si>
    <t>BEX-2083</t>
  </si>
  <si>
    <t>BEX-2084</t>
  </si>
  <si>
    <t>BEX-2085</t>
  </si>
  <si>
    <t>BEX-2086</t>
  </si>
  <si>
    <t>BEX-2087</t>
  </si>
  <si>
    <t>BEX-2088</t>
  </si>
  <si>
    <t>BEX-2089</t>
  </si>
  <si>
    <t>BEX-2090</t>
  </si>
  <si>
    <t>BEX-2091</t>
  </si>
  <si>
    <t>BEX-2092</t>
  </si>
  <si>
    <t>BEX-2093</t>
  </si>
  <si>
    <t>BEX-2094</t>
  </si>
  <si>
    <t>BEX-2095</t>
  </si>
  <si>
    <t>BEX-2096</t>
  </si>
  <si>
    <t>BEX-2097</t>
  </si>
  <si>
    <t>BEX-2098</t>
  </si>
  <si>
    <t>BEX-2099</t>
  </si>
  <si>
    <t>BEX-2100</t>
  </si>
  <si>
    <t>TABLA MAESTRA DE PERSONAL</t>
  </si>
  <si>
    <t>Registro unico de personas. El identificador principal es el Telefono. El sistema relaciona a cada persona con su credencial y movimientos por el nombre/telefono.</t>
  </si>
  <si>
    <t>Nombre_Completo</t>
  </si>
  <si>
    <t>Rol</t>
  </si>
  <si>
    <t>Credencial_Actual</t>
  </si>
  <si>
    <t>POR REGISTRAR</t>
  </si>
  <si>
    <t>SUPERVISOR</t>
  </si>
  <si>
    <t>ACTIVO</t>
  </si>
  <si>
    <t>AFILIADOR</t>
  </si>
  <si>
    <t>Nombre incompleto - verificar</t>
  </si>
  <si>
    <t>Supervisor registrado en ENTREGADOS - datos incompletos</t>
  </si>
  <si>
    <t>⚠️ BEX-0176 DUPLICADO - verificar con REYNA IVONNE</t>
  </si>
  <si>
    <t>LUZ NATALIA HUANAPACO PENA</t>
  </si>
  <si>
    <t>INACTIVO</t>
  </si>
  <si>
    <t>REYNA IVONNE CALLE NINA</t>
  </si>
  <si>
    <t>⚠️ BEX-0176 DUPLICADO - misma credencial que CLAUDIA SHASKIA</t>
  </si>
  <si>
    <t>Nueva credencial asignada</t>
  </si>
  <si>
    <t>ABIGAIL HUANACO TICONA</t>
  </si>
  <si>
    <t>ALVARO CIMAR MAMANI PRADO</t>
  </si>
  <si>
    <t>ANA GABRIELA CONDORI HERRERA</t>
  </si>
  <si>
    <t>BENJAMIN CHUQUIMIA CORDERO</t>
  </si>
  <si>
    <t>GIOVANA TOLA CASACA</t>
  </si>
  <si>
    <t>HARRY JHONNY CRUZ MALLQUI</t>
  </si>
  <si>
    <t>JHOSELYN DANIELA MANZANEDA CHINO</t>
  </si>
  <si>
    <t>LAURA VANESSA QUISPE MAMANI</t>
  </si>
  <si>
    <t>LIVIA VIOLETA QUISPE CONDORI</t>
  </si>
  <si>
    <t>PATRICIA ANGELICA HUAYLLAS PAYE</t>
  </si>
  <si>
    <t>RAFAELA RUBI MEDINA SORIA</t>
  </si>
  <si>
    <t>RONALD JHONATAN CUSICANQUI LAURA</t>
  </si>
  <si>
    <t>JHOSEP QUISBERT MAMANI</t>
  </si>
  <si>
    <t>⚠️ Verificar: posible duplicado con JHOSEP SHARUM (MAGALI)</t>
  </si>
  <si>
    <t>TANIA NINOSKA MAMANI MACHACA</t>
  </si>
  <si>
    <t>MAGALI YESENIA HUANCA HUANCA</t>
  </si>
  <si>
    <t>ELIZABETH CEREZO CEREZO</t>
  </si>
  <si>
    <t>ERIKA HUAYHUA FERNANDEZ</t>
  </si>
  <si>
    <t>EVELYN GIOVANNA LUQUE CHAUCA</t>
  </si>
  <si>
    <t>JHENNY CALLISAYA QUISPE</t>
  </si>
  <si>
    <t>JHOSEP SHARUM QUISBERT MAMANI</t>
  </si>
  <si>
    <t>⚠️ Verificar: mismo BEX-0106 que CAMILA LOZA (GERCY)</t>
  </si>
  <si>
    <t>BRENDA ISABEL IBANEZ CARPIO</t>
  </si>
  <si>
    <t>CLAUDIA APAZA SINANI</t>
  </si>
  <si>
    <t>DAMIAN ALEJANDRO DE LA BARRA RODRIGUEZ</t>
  </si>
  <si>
    <t>MARLENY ZULMA MAYNASA TAPIA</t>
  </si>
  <si>
    <t>TANIA MARCA NINA</t>
  </si>
  <si>
    <t>WILMA CONDORI ARIAS</t>
  </si>
  <si>
    <t>DIEGO GORENA LINEO</t>
  </si>
  <si>
    <t>DORIAN KEVIN RAMIREZ MAMANI</t>
  </si>
  <si>
    <t>JUAN JOSE MARQUEZ LLAVETA</t>
  </si>
  <si>
    <t>Registrado solo en ENTREGADOS</t>
  </si>
  <si>
    <t>ADRIAN ENRIQUE LOPEZ MERUBIA</t>
  </si>
  <si>
    <t>ANGELES NETZ CESPEDES</t>
  </si>
  <si>
    <t>Perdio credencial anterior - COBRAR POR PERDIDA</t>
  </si>
  <si>
    <t>DEIBY TASEO GUASASE</t>
  </si>
  <si>
    <t>Perdio BEX-0518 - COBRAR POR PERDIDA</t>
  </si>
  <si>
    <t>SANDRA VERONICA VEGA TROCHE</t>
  </si>
  <si>
    <t>Gestora indico no le entregaron credencial</t>
  </si>
  <si>
    <t>SERAFIN LAYME MEDINA</t>
  </si>
  <si>
    <t>Completar nombre completo</t>
  </si>
  <si>
    <t>LORENA (NOMBRE INCOMPLETO)</t>
  </si>
  <si>
    <t>Sin asignar fisicamente</t>
  </si>
  <si>
    <t>SELMA (NOMBRE INCOMPLETO)</t>
  </si>
  <si>
    <t>Credenciales enviados por asignar</t>
  </si>
  <si>
    <t>Por asignar</t>
  </si>
  <si>
    <t>DANIEL ALBERTO TELLEZ TELLEZ</t>
  </si>
  <si>
    <t>REYNA YEVARA ZURITA</t>
  </si>
  <si>
    <t>VERONICA JUDITH GUTIERREZ RAMOS</t>
  </si>
  <si>
    <t>HISTORIAL DE MOVIMIENTOS  -  Registro permanente</t>
  </si>
  <si>
    <t>Agregue una fila por cada evento (asignacion, devolucion, perdida, etc.). NUNCA borre filas. Al agregar un movimiento, el inventario, el buscador y el dashboard se actualizan automaticamente.</t>
  </si>
  <si>
    <t>MOV-0001</t>
  </si>
  <si>
    <t>ENTREGA INICIAL</t>
  </si>
  <si>
    <t>Lote inaugural entregado a supervisor</t>
  </si>
  <si>
    <t>MOV-0002</t>
  </si>
  <si>
    <t>MOV-0003</t>
  </si>
  <si>
    <t>MOV-0004</t>
  </si>
  <si>
    <t>MOV-0005</t>
  </si>
  <si>
    <t>MOV-0006</t>
  </si>
  <si>
    <t>MOV-0007</t>
  </si>
  <si>
    <t>MOV-0008</t>
  </si>
  <si>
    <t>MOV-0009</t>
  </si>
  <si>
    <t>MOV-0010</t>
  </si>
  <si>
    <t>MOV-0011</t>
  </si>
  <si>
    <t>MOV-0012</t>
  </si>
  <si>
    <t>MOV-0013</t>
  </si>
  <si>
    <t>MOV-0014</t>
  </si>
  <si>
    <t>MOV-0015</t>
  </si>
  <si>
    <t>MOV-0016</t>
  </si>
  <si>
    <t>MOV-0017</t>
  </si>
  <si>
    <t>MOV-0018</t>
  </si>
  <si>
    <t>MOV-0019</t>
  </si>
  <si>
    <t>MOV-0020</t>
  </si>
  <si>
    <t>MOV-0021</t>
  </si>
  <si>
    <t>MOV-0022</t>
  </si>
  <si>
    <t>MOV-0023</t>
  </si>
  <si>
    <t>MOV-0024</t>
  </si>
  <si>
    <t>MOV-0025</t>
  </si>
  <si>
    <t>MOV-0026</t>
  </si>
  <si>
    <t>MOV-0027</t>
  </si>
  <si>
    <t>MOV-0028</t>
  </si>
  <si>
    <t>MOV-0029</t>
  </si>
  <si>
    <t>MOV-0030</t>
  </si>
  <si>
    <t>MOV-0031</t>
  </si>
  <si>
    <t>MOV-0032</t>
  </si>
  <si>
    <t>MOV-0033</t>
  </si>
  <si>
    <t>MOV-0034</t>
  </si>
  <si>
    <t>MOV-0035</t>
  </si>
  <si>
    <t>MOV-0036</t>
  </si>
  <si>
    <t>MOV-0037</t>
  </si>
  <si>
    <t>MOV-0038</t>
  </si>
  <si>
    <t>MOV-0039</t>
  </si>
  <si>
    <t>MOV-0040</t>
  </si>
  <si>
    <t>MOV-0041</t>
  </si>
  <si>
    <t>MOV-0042</t>
  </si>
  <si>
    <t>MOV-0043</t>
  </si>
  <si>
    <t>MOV-0044</t>
  </si>
  <si>
    <t>MOV-0045</t>
  </si>
  <si>
    <t>MOV-0046</t>
  </si>
  <si>
    <t>REPOSICION</t>
  </si>
  <si>
    <t>Reposicion por perdida</t>
  </si>
  <si>
    <t>MOV-0047</t>
  </si>
  <si>
    <t>Reposicion - perdio BEX-0518</t>
  </si>
  <si>
    <t>MOV-0048</t>
  </si>
  <si>
    <t>PERDIDA</t>
  </si>
  <si>
    <t>COBRAR POR PERDIDA</t>
  </si>
  <si>
    <t>MOV-0049</t>
  </si>
  <si>
    <t>Credencial anterior perdida - COBRAR</t>
  </si>
  <si>
    <t>PARAMETROS DEL SISTEMA  -  BEX</t>
  </si>
  <si>
    <t>Listas maestras que alimentan los menus desplegables y validaciones del sistema. Edite aqui para agregar regionales, supervisores o estados. Las demas hojas se actualizan solas.</t>
  </si>
  <si>
    <t>Regionales</t>
  </si>
  <si>
    <t>Estados_Persona</t>
  </si>
  <si>
    <t>Roles</t>
  </si>
  <si>
    <t>Estados_Credencial</t>
  </si>
  <si>
    <t>Tipos_Movimiento</t>
  </si>
  <si>
    <t>Generacion</t>
  </si>
  <si>
    <t>Supervisores</t>
  </si>
  <si>
    <t>ERRORES / ALERTAS DETECTADAS</t>
  </si>
  <si>
    <t>ASIGNACION</t>
  </si>
  <si>
    <t>1. BEX-0176 asignado a DOS personas: CLAUDIA SHASKIA y REYNA IVONNE</t>
  </si>
  <si>
    <t>2. BEX-0106 posiblemente duplicado: CAMILA LOZA (GERCY) y JHOSEP SHARUM (MAGALI)</t>
  </si>
  <si>
    <t>DEVOLUCION</t>
  </si>
  <si>
    <t>3. Personas con nombres incompletos: TOMAS, LORENA, SELMA</t>
  </si>
  <si>
    <t>4. BEX-0518 reportada como PERDIDA - pendiente cobro a MARCO ESCOBAR</t>
  </si>
  <si>
    <t>5. Supervisores sin datos en hoja principal: LIONEL CHABUR, NATALIA VILLARROEL</t>
  </si>
  <si>
    <t>REASIGNACION</t>
  </si>
  <si>
    <t>6. Codigos normalizados (espacios y ceros): BEX-162, BEX-0176, BEX-027, etc.</t>
  </si>
  <si>
    <t>CAMBIO SUPERVISOR</t>
  </si>
  <si>
    <t>7. Telefonos marcados como POR REGISTRAR - campo critico faltante</t>
  </si>
  <si>
    <t>CAMBIO REGIONAL</t>
  </si>
  <si>
    <t>BAJA</t>
  </si>
  <si>
    <t>MOTOR DE CALCULO (hoja oculta) - alimenta KPIs, tablas resumen y graficos</t>
  </si>
  <si>
    <t>Mes</t>
  </si>
  <si>
    <t>Movimientos</t>
  </si>
  <si>
    <t>Entregas</t>
  </si>
  <si>
    <t>ini</t>
  </si>
  <si>
    <t>fin</t>
  </si>
  <si>
    <t>fReg</t>
  </si>
  <si>
    <t>fSup</t>
  </si>
  <si>
    <t>fEst</t>
  </si>
  <si>
    <t>fMes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</si>
  <si>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</si>
  <si>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</si>
  <si>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</si>
  <si>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</si>
  <si>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</si>
  <si>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</si>
  <si>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</si>
  <si>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</si>
  <si>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</si>
  <si>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</si>
  <si>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</si>
  <si>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</si>
  <si>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Regional /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</si>
</sst>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rgb="FF000000"/>
      <name val="Calibri"/>
      <scheme val="minor"/>
    </font>
    <font>
      <b/>
      <sz val="18.0"/>
      <color rgb="FFFFFFFF"/>
      <name val="Calibri"/>
    </font>
    <font/>
    <font>
      <b/>
      <sz val="12.0"/>
      <color rgb="FFFFFFFF"/>
      <name val="Calibri"/>
    </font>
    <font>
      <i/>
      <sz val="9.0"/>
      <color rgb="FF595959"/>
      <name val="Calibri"/>
    </font>
    <font>
      <b/>
      <sz val="11.0"/>
      <color rgb="FFFFFFFF"/>
      <name val="Calibri"/>
    </font>
    <font>
      <b/>
      <u/>
      <sz val="11.0"/>
      <color rgb="FF1F4E78"/>
      <name val="Calibri"/>
    </font>
    <font>
      <sz val="11.0"/>
      <color theme="1"/>
      <name val="Calibri"/>
    </font>
    <font>
      <b/>
      <sz val="11.0"/>
      <color rgb="FF1F4E78"/>
      <name val="Calibri"/>
    </font>
    <font>
      <b/>
      <sz val="10.0"/>
      <color rgb="FFFFFFFF"/>
      <name val="Calibri"/>
    </font>
    <font>
      <b/>
      <sz val="26.0"/>
      <color rgb="FF1F4E78"/>
      <name val="Calibri"/>
    </font>
    <font>
      <color theme="1"/>
      <name val="Calibri"/>
      <scheme val="minor"/>
    </font>
    <font>
      <b/>
      <sz val="13.0"/>
      <color rgb="FF1F4E78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E86C1"/>
        <bgColor rgb="FF2E86C1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left" vertical="center"/>
    </xf>
    <xf borderId="7" fillId="6" fontId="6" numFmtId="0" xfId="0" applyAlignment="1" applyBorder="1" applyFill="1" applyFont="1">
      <alignment horizontal="center" vertical="center"/>
    </xf>
    <xf borderId="7" fillId="0" fontId="7" numFmtId="0" xfId="0" applyBorder="1" applyFont="1"/>
    <xf borderId="7" fillId="7" fontId="8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center"/>
    </xf>
    <xf borderId="4" fillId="5" fontId="9" numFmtId="0" xfId="0" applyAlignment="1" applyBorder="1" applyFont="1">
      <alignment horizontal="center" shrinkToFit="0" vertical="center" wrapText="1"/>
    </xf>
    <xf borderId="4" fillId="8" fontId="10" numFmtId="0" xfId="0" applyAlignment="1" applyBorder="1" applyFill="1" applyFont="1">
      <alignment horizontal="center" vertical="center"/>
    </xf>
    <xf borderId="7" fillId="3" fontId="5" numFmtId="0" xfId="0" applyAlignment="1" applyBorder="1" applyFont="1">
      <alignment horizontal="center" shrinkToFit="0" vertical="center" wrapText="1"/>
    </xf>
    <xf borderId="7" fillId="0" fontId="7" numFmtId="164" xfId="0" applyAlignment="1" applyBorder="1" applyFont="1" applyNumberFormat="1">
      <alignment horizontal="center"/>
    </xf>
    <xf borderId="0" fillId="0" fontId="8" numFmtId="0" xfId="0" applyAlignment="1" applyFont="1">
      <alignment horizontal="right" vertical="center"/>
    </xf>
    <xf borderId="7" fillId="6" fontId="8" numFmtId="0" xfId="0" applyAlignment="1" applyBorder="1" applyFont="1">
      <alignment horizontal="center" readingOrder="0" vertical="center"/>
    </xf>
    <xf borderId="7" fillId="8" fontId="10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vertical="center"/>
    </xf>
    <xf borderId="4" fillId="0" fontId="7" numFmtId="0" xfId="0" applyBorder="1" applyFont="1"/>
    <xf borderId="4" fillId="0" fontId="7" numFmtId="164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7" fillId="3" fontId="5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7" fillId="0" fontId="7" numFmtId="0" xfId="0" applyAlignment="1" applyBorder="1" applyFont="1">
      <alignment horizontal="center"/>
    </xf>
    <xf borderId="7" fillId="0" fontId="7" numFmtId="164" xfId="0" applyAlignment="1" applyBorder="1" applyFont="1" applyNumberFormat="1">
      <alignment horizontal="center"/>
    </xf>
    <xf borderId="7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7" fillId="9" fontId="7" numFmtId="0" xfId="0" applyAlignment="1" applyBorder="1" applyFill="1" applyFont="1">
      <alignment readingOrder="0"/>
    </xf>
    <xf borderId="0" fillId="0" fontId="11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1F4E78"/>
      </font>
      <fill>
        <patternFill patternType="solid">
          <fgColor rgb="FFBDD7EE"/>
          <bgColor rgb="FFBDD7E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  <tableStyles count="4">
    <tableStyle count="3" pivot="0" name="INVENTARIO_GENERAL-style">
      <tableStyleElement dxfId="1" type="headerRow"/>
      <tableStyleElement dxfId="2" type="firstRowStripe"/>
      <tableStyleElement dxfId="3" type="secondRowStripe"/>
    </tableStyle>
    <tableStyle count="3" pivot="0" name="PERSONAL-style">
      <tableStyleElement dxfId="1" type="headerRow"/>
      <tableStyleElement dxfId="2" type="firstRowStripe"/>
      <tableStyleElement dxfId="3" type="secondRowStripe"/>
    </tableStyle>
    <tableStyle count="3" pivot="0" name="MOVIMIENTOS-style">
      <tableStyleElement dxfId="1" type="headerRow"/>
      <tableStyleElement dxfId="2" type="firstRowStripe"/>
      <tableStyleElement dxfId="3" type="secondRowStripe"/>
    </tableStyle>
    <tableStyle count="3" pivot="0" name="PARAMETR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Distribucion por Estado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MOTOR_DASHBOARD!$A$4:$A$7</c:f>
            </c:strRef>
          </c:cat>
          <c:val>
            <c:numRef>
              <c:f>MOTOR_DASHBOARD!$B$4:$B$7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Inventario por Regional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MOTOR_DASHBOARD!$D$4:$D$9</c:f>
            </c:strRef>
          </c:cat>
          <c:val>
            <c:numRef>
              <c:f>MOTOR_DASHBOARD!$E$4:$E$9</c:f>
              <c:numCache/>
            </c:numRef>
          </c:val>
        </c:ser>
        <c:axId val="1499668835"/>
        <c:axId val="2091836009"/>
      </c:barChart>
      <c:catAx>
        <c:axId val="1499668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836009"/>
      </c:catAx>
      <c:valAx>
        <c:axId val="20918360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66883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Supervisores (asignadas)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MOTOR_DASHBOARD!$G$4:$G$19</c:f>
            </c:strRef>
          </c:cat>
          <c:val>
            <c:numRef>
              <c:f>MOTOR_DASHBOARD!$H$4:$H$19</c:f>
              <c:numCache/>
            </c:numRef>
          </c:val>
        </c:ser>
        <c:axId val="1410413644"/>
        <c:axId val="577680126"/>
      </c:barChart>
      <c:catAx>
        <c:axId val="1410413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680126"/>
      </c:catAx>
      <c:valAx>
        <c:axId val="577680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413644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Estado por Regional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ASIGNADO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MOTOR_DASHBOARD!$A$21:$A$26</c:f>
            </c:strRef>
          </c:cat>
          <c:val>
            <c:numRef>
              <c:f>MOTOR_DASHBOARD!$B$21:$B$26</c:f>
              <c:numCache/>
            </c:numRef>
          </c:val>
        </c:ser>
        <c:ser>
          <c:idx val="1"/>
          <c:order val="1"/>
          <c:tx>
            <c:v>DISPONIBLE</c:v>
          </c:tx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MOTOR_DASHBOARD!$A$21:$A$26</c:f>
            </c:strRef>
          </c:cat>
          <c:val>
            <c:numRef>
              <c:f>MOTOR_DASHBOARD!$C$21:$C$26</c:f>
              <c:numCache/>
            </c:numRef>
          </c:val>
        </c:ser>
        <c:ser>
          <c:idx val="2"/>
          <c:order val="2"/>
          <c:tx>
            <c:v>POR ASIGNAR</c:v>
          </c:tx>
          <c:spPr>
            <a:solidFill>
              <a:srgbClr val="E67E22"/>
            </a:solidFill>
            <a:ln cmpd="sng">
              <a:solidFill>
                <a:srgbClr val="000000"/>
              </a:solidFill>
            </a:ln>
          </c:spPr>
          <c:cat>
            <c:strRef>
              <c:f>MOTOR_DASHBOARD!$A$21:$A$26</c:f>
            </c:strRef>
          </c:cat>
          <c:val>
            <c:numRef>
              <c:f>MOTOR_DASHBOARD!$D$21:$D$26</c:f>
              <c:numCache/>
            </c:numRef>
          </c:val>
        </c:ser>
        <c:ser>
          <c:idx val="3"/>
          <c:order val="3"/>
          <c:tx>
            <c:v>PERDIDO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cat>
            <c:strRef>
              <c:f>MOTOR_DASHBOARD!$A$21:$A$26</c:f>
            </c:strRef>
          </c:cat>
          <c:val>
            <c:numRef>
              <c:f>MOTOR_DASHBOARD!$E$21:$E$26</c:f>
              <c:numCache/>
            </c:numRef>
          </c:val>
        </c:ser>
        <c:overlap val="100"/>
        <c:axId val="477185650"/>
        <c:axId val="930800634"/>
      </c:barChart>
      <c:catAx>
        <c:axId val="477185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800634"/>
      </c:catAx>
      <c:valAx>
        <c:axId val="9308006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1856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Movimientos por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1F4E7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1F4E78">
                  <a:alpha val="100000"/>
                </a:srgbClr>
              </a:solidFill>
              <a:ln cmpd="sng">
                <a:solidFill>
                  <a:srgbClr val="1F4E78">
                    <a:alpha val="100000"/>
                  </a:srgbClr>
                </a:solidFill>
              </a:ln>
            </c:spPr>
          </c:marker>
          <c:cat>
            <c:strRef>
              <c:f>MOTOR_DASHBOARD!$J$4:$J$15</c:f>
            </c:strRef>
          </c:cat>
          <c:val>
            <c:numRef>
              <c:f>MOTOR_DASHBOARD!$K$4:$K$15</c:f>
              <c:numCache/>
            </c:numRef>
          </c:val>
          <c:smooth val="1"/>
        </c:ser>
        <c:axId val="453363730"/>
        <c:axId val="2006200331"/>
      </c:lineChart>
      <c:catAx>
        <c:axId val="453363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200331"/>
      </c:catAx>
      <c:valAx>
        <c:axId val="20062003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36373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Entregas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MOTOR_DASHBOARD!$J$4:$J$15</c:f>
            </c:strRef>
          </c:cat>
          <c:val>
            <c:numRef>
              <c:f>MOTOR_DASHBOARD!$L$4:$L$15</c:f>
              <c:numCache/>
            </c:numRef>
          </c:val>
        </c:ser>
        <c:axId val="2129452653"/>
        <c:axId val="1621111098"/>
      </c:barChart>
      <c:catAx>
        <c:axId val="2129452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111098"/>
      </c:catAx>
      <c:valAx>
        <c:axId val="16211110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45265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Perdidas por 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cat>
            <c:strRef>
              <c:f>MOTOR_DASHBOARD!$J$4:$J$15</c:f>
            </c:strRef>
          </c:cat>
          <c:val>
            <c:numRef>
              <c:f>MOTOR_DASHBOARD!$M$4:$M$15</c:f>
              <c:numCache/>
            </c:numRef>
          </c:val>
        </c:ser>
        <c:axId val="1986449906"/>
        <c:axId val="2047238858"/>
      </c:barChart>
      <c:catAx>
        <c:axId val="1986449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238858"/>
      </c:catAx>
      <c:valAx>
        <c:axId val="20472388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44990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0</xdr:rowOff>
    </xdr:from>
    <xdr:ext cx="9563100" cy="3000375"/>
    <xdr:graphicFrame>
      <xdr:nvGraphicFramePr>
        <xdr:cNvPr id="103523764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36</xdr:row>
      <xdr:rowOff>0</xdr:rowOff>
    </xdr:from>
    <xdr:ext cx="7934325" cy="3000375"/>
    <xdr:graphicFrame>
      <xdr:nvGraphicFramePr>
        <xdr:cNvPr id="6079394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0</xdr:rowOff>
    </xdr:from>
    <xdr:ext cx="9563100" cy="3000375"/>
    <xdr:graphicFrame>
      <xdr:nvGraphicFramePr>
        <xdr:cNvPr id="52185625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52</xdr:row>
      <xdr:rowOff>0</xdr:rowOff>
    </xdr:from>
    <xdr:ext cx="7934325" cy="3000375"/>
    <xdr:graphicFrame>
      <xdr:nvGraphicFramePr>
        <xdr:cNvPr id="117687211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68</xdr:row>
      <xdr:rowOff>0</xdr:rowOff>
    </xdr:from>
    <xdr:ext cx="9563100" cy="3000375"/>
    <xdr:graphicFrame>
      <xdr:nvGraphicFramePr>
        <xdr:cNvPr id="27553833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0</xdr:colOff>
      <xdr:row>68</xdr:row>
      <xdr:rowOff>0</xdr:rowOff>
    </xdr:from>
    <xdr:ext cx="7934325" cy="3000375"/>
    <xdr:graphicFrame>
      <xdr:nvGraphicFramePr>
        <xdr:cNvPr id="196023642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84</xdr:row>
      <xdr:rowOff>0</xdr:rowOff>
    </xdr:from>
    <xdr:ext cx="9563100" cy="3000375"/>
    <xdr:graphicFrame>
      <xdr:nvGraphicFramePr>
        <xdr:cNvPr id="109475374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L181" displayName="Table_1" name="Table_1" id="1">
  <tableColumns count="12">
    <tableColumn name="Codigo_Activo" id="1"/>
    <tableColumn name="Tipo_Credencial" id="2"/>
    <tableColumn name="Estado_Actual" id="3"/>
    <tableColumn name="Responsable_Actual" id="4"/>
    <tableColumn name="Telefono" id="5"/>
    <tableColumn name="Supervisor" id="6"/>
    <tableColumn name="Regional" id="7"/>
    <tableColumn name="Fecha_Ultima_Asignacion" id="8"/>
    <tableColumn name="Fecha_Ultima_Devolucion" id="9"/>
    <tableColumn name="Cantidad_Perdidas" id="10"/>
    <tableColumn name="Dias_En_Uso" id="11"/>
    <tableColumn name="Observaciones" id="12"/>
  </tableColumns>
  <tableStyleInfo name="INVENTARIO_GENERAL-style" showColumnStripes="0" showFirstColumn="1" showLastColumn="1" showRowStripes="1"/>
</table>
</file>

<file path=xl/tables/table2.xml><?xml version="1.0" encoding="utf-8"?>
<table xmlns="http://schemas.openxmlformats.org/spreadsheetml/2006/main" ref="A4:H135" displayName="Table_2" name="Table_2" id="2">
  <tableColumns count="8">
    <tableColumn name="Telefono" id="1"/>
    <tableColumn name="Nombre_Completo" id="2"/>
    <tableColumn name="Rol" id="3"/>
    <tableColumn name="Supervisor" id="4"/>
    <tableColumn name="Regional" id="5"/>
    <tableColumn name="Estado" id="6"/>
    <tableColumn name="Credencial_Actual" id="7"/>
    <tableColumn name="Observaciones" id="8"/>
  </tableColumns>
  <tableStyleInfo name="PERSONAL-style" showColumnStripes="0" showFirstColumn="1" showLastColumn="1" showRowStripes="1"/>
</table>
</file>

<file path=xl/tables/table3.xml><?xml version="1.0" encoding="utf-8"?>
<table xmlns="http://schemas.openxmlformats.org/spreadsheetml/2006/main" ref="A4:I54" displayName="Table_3" name="Table_3" id="3">
  <tableColumns count="9">
    <tableColumn name="ID_Movimiento" id="1"/>
    <tableColumn name="Fecha" id="2"/>
    <tableColumn name="Tipo_Movimiento" id="3"/>
    <tableColumn name="Codigo_Activo" id="4"/>
    <tableColumn name="Telefono" id="5"/>
    <tableColumn name="Nombre" id="6"/>
    <tableColumn name="Supervisor" id="7"/>
    <tableColumn name="Regional" id="8"/>
    <tableColumn name="Observaciones" id="9"/>
  </tableColumns>
  <tableStyleInfo name="MOVIMIENTOS-style" showColumnStripes="0" showFirstColumn="1" showLastColumn="1" showRowStripes="1"/>
</table>
</file>

<file path=xl/tables/table4.xml><?xml version="1.0" encoding="utf-8"?>
<table xmlns="http://schemas.openxmlformats.org/spreadsheetml/2006/main" ref="A4:G20" displayName="Table_4" name="Table_4" id="4">
  <tableColumns count="7">
    <tableColumn name="Regionales" id="1"/>
    <tableColumn name="Estados_Persona" id="2"/>
    <tableColumn name="Roles" id="3"/>
    <tableColumn name="Estados_Credencial" id="4"/>
    <tableColumn name="Tipos_Movimiento" id="5"/>
    <tableColumn name="Generacion" id="6"/>
    <tableColumn name="Supervisores" id="7"/>
  </tableColumns>
  <tableStyleInfo name="PARAME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50.0"/>
    <col customWidth="1" min="4" max="4" width="20.0"/>
    <col customWidth="1" min="5" max="26" width="8.86"/>
  </cols>
  <sheetData>
    <row r="1" ht="33.75" customHeight="1">
      <c r="B1" s="1" t="s">
        <v>0</v>
      </c>
      <c r="C1" s="2"/>
      <c r="D1" s="3"/>
    </row>
    <row r="2">
      <c r="B2" s="4" t="s">
        <v>1</v>
      </c>
      <c r="C2" s="5"/>
      <c r="D2" s="6"/>
    </row>
    <row r="3" ht="45.75" customHeight="1">
      <c r="B3" s="7" t="s">
        <v>2</v>
      </c>
      <c r="C3" s="5"/>
      <c r="D3" s="6"/>
    </row>
    <row r="5">
      <c r="B5" s="8" t="s">
        <v>3</v>
      </c>
      <c r="C5" s="2"/>
      <c r="D5" s="3"/>
    </row>
    <row r="6">
      <c r="B6" s="9" t="s">
        <v>4</v>
      </c>
      <c r="C6" s="10" t="s">
        <v>5</v>
      </c>
    </row>
    <row r="7">
      <c r="B7" s="9" t="s">
        <v>6</v>
      </c>
      <c r="C7" s="10" t="s">
        <v>7</v>
      </c>
    </row>
    <row r="8">
      <c r="B8" s="9" t="s">
        <v>8</v>
      </c>
      <c r="C8" s="10" t="s">
        <v>9</v>
      </c>
    </row>
    <row r="9">
      <c r="B9" s="9" t="s">
        <v>10</v>
      </c>
      <c r="C9" s="10" t="s">
        <v>11</v>
      </c>
    </row>
    <row r="10">
      <c r="B10" s="9" t="s">
        <v>12</v>
      </c>
      <c r="C10" s="10" t="s">
        <v>13</v>
      </c>
    </row>
    <row r="11">
      <c r="B11" s="9" t="s">
        <v>14</v>
      </c>
      <c r="C11" s="10" t="s">
        <v>15</v>
      </c>
    </row>
    <row r="13">
      <c r="B13" s="8" t="s">
        <v>16</v>
      </c>
      <c r="C13" s="2"/>
      <c r="D13" s="3"/>
    </row>
    <row r="14">
      <c r="B14" s="11" t="s">
        <v>17</v>
      </c>
      <c r="C14" s="12">
        <f>COUNTA(INVENTARIO_GENERAL!$A$5:$A$181)</f>
        <v>177</v>
      </c>
    </row>
    <row r="15">
      <c r="B15" s="11" t="s">
        <v>18</v>
      </c>
      <c r="C15" s="12">
        <f>COUNTIF(INVENTARIO_GENERAL!$C$5:$C$181,"ASIGNADO")</f>
        <v>73</v>
      </c>
    </row>
    <row r="16">
      <c r="B16" s="11" t="s">
        <v>19</v>
      </c>
      <c r="C16" s="12">
        <f>COUNTIF(INVENTARIO_GENERAL!$C$5:$C$181,"DISPONIBLE")</f>
        <v>68</v>
      </c>
    </row>
    <row r="17">
      <c r="B17" s="11" t="s">
        <v>20</v>
      </c>
      <c r="C17" s="12">
        <f>COUNTIF(INVENTARIO_GENERAL!$C$5:$C$181,"PERDIDO")</f>
        <v>1</v>
      </c>
    </row>
    <row r="18">
      <c r="B18" s="11" t="s">
        <v>21</v>
      </c>
      <c r="C18" s="12">
        <f>COUNTA(PERSONAL!$A$5:$A$135)</f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D1"/>
    <mergeCell ref="B2:D2"/>
    <mergeCell ref="B3:D3"/>
    <mergeCell ref="B5:D5"/>
    <mergeCell ref="B13:D13"/>
  </mergeCells>
  <hyperlinks>
    <hyperlink display="Ir a DASHBOARD" location="DASHBOARD!A1" ref="B6"/>
    <hyperlink display="Ir a BUSCADOR" location="BUSCADOR!A1" ref="B7"/>
    <hyperlink display="Ir a INVENTARIO_GENERAL" location="INVENTARIO_GENERAL!A1" ref="B8"/>
    <hyperlink display="Ir a PERSONAL" location="PERSONAL!A1" ref="B9"/>
    <hyperlink display="Ir a MOVIMIENTOS" location="MOVIMIENTOS!A1" ref="B10"/>
    <hyperlink display="Ir a PARAMETROS" location="PARAMETROS!A1" ref="B11"/>
  </hyperlinks>
  <printOptions/>
  <pageMargins bottom="0.6" footer="0.0" header="0.0" left="0.5" right="0.5" top="0.6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0549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4" width="17.0"/>
    <col customWidth="1" min="5" max="5" width="29.43"/>
    <col customWidth="1" min="6" max="6" width="29.0"/>
    <col customWidth="1" min="7" max="14" width="17.0"/>
    <col customWidth="1" min="15" max="26" width="8.86"/>
  </cols>
  <sheetData>
    <row r="1" ht="30.0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45.75" customHeight="1">
      <c r="A3" s="7" t="s">
        <v>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5">
      <c r="A5" s="8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>
      <c r="A6" s="13" t="s">
        <v>26</v>
      </c>
      <c r="B6" s="6"/>
      <c r="D6" s="13" t="s">
        <v>27</v>
      </c>
      <c r="E6" s="6"/>
      <c r="G6" s="13" t="s">
        <v>28</v>
      </c>
      <c r="H6" s="6"/>
      <c r="J6" s="13" t="s">
        <v>29</v>
      </c>
      <c r="K6" s="6"/>
      <c r="M6" s="13" t="s">
        <v>30</v>
      </c>
      <c r="N6" s="6"/>
    </row>
    <row r="7" ht="30.0" customHeight="1">
      <c r="A7" s="14">
        <f>COUNTA(INVENTARIO_GENERAL!$A$5:$A$181)</f>
        <v>177</v>
      </c>
      <c r="B7" s="6"/>
      <c r="D7" s="14">
        <f>COUNTIF(INVENTARIO_GENERAL!$C$5:$C$181,"ASIGNADO")</f>
        <v>73</v>
      </c>
      <c r="E7" s="6"/>
      <c r="G7" s="14">
        <f>COUNTIF(INVENTARIO_GENERAL!$C$5:$C$181,"DISPONIBLE")</f>
        <v>68</v>
      </c>
      <c r="H7" s="6"/>
      <c r="J7" s="14">
        <f>COUNTIF(INVENTARIO_GENERAL!$C$5:$C$181,"POR ASIGNAR")</f>
        <v>35</v>
      </c>
      <c r="K7" s="6"/>
      <c r="M7" s="14">
        <f>COUNTIF(INVENTARIO_GENERAL!$C$5:$C$181,"PERDIDO")</f>
        <v>1</v>
      </c>
      <c r="N7" s="6"/>
    </row>
    <row r="9">
      <c r="A9" s="13" t="s">
        <v>31</v>
      </c>
      <c r="B9" s="6"/>
      <c r="D9" s="13" t="s">
        <v>32</v>
      </c>
      <c r="E9" s="6"/>
      <c r="G9" s="13" t="s">
        <v>33</v>
      </c>
      <c r="H9" s="6"/>
      <c r="J9" s="13" t="s">
        <v>34</v>
      </c>
      <c r="K9" s="6"/>
      <c r="M9" s="13" t="s">
        <v>35</v>
      </c>
      <c r="N9" s="6"/>
    </row>
    <row r="10" ht="30.0" customHeight="1">
      <c r="A10" s="14">
        <f>COUNTIF(MOVIMIENTOS!$C$5:$C$53,"DEVOLUCION")</f>
        <v>0</v>
      </c>
      <c r="B10" s="6"/>
      <c r="D10" s="14">
        <f>COUNTIF(INVENTARIO_GENERAL!$C$5:$C$181,"DISPONIBLE")</f>
        <v>68</v>
      </c>
      <c r="E10" s="6"/>
      <c r="G10" s="14">
        <f>COUNTIF(INVENTARIO_GENERAL!$C$5:$C$181,"ASIGNADO")</f>
        <v>73</v>
      </c>
      <c r="H10" s="6"/>
      <c r="J10" s="14">
        <f>COUNTIF(PERSONAL!$F$5:$F$135,"ACTIVO")</f>
        <v>94</v>
      </c>
      <c r="K10" s="6"/>
      <c r="M10" s="14">
        <f>COUNTIF(PERSONAL!$C$5:$C$135,"SUPERVISOR")</f>
        <v>16</v>
      </c>
      <c r="N10" s="6"/>
    </row>
    <row r="13">
      <c r="A13" s="8" t="s">
        <v>36</v>
      </c>
      <c r="B13" s="2"/>
      <c r="C13" s="2"/>
      <c r="D13" s="2"/>
      <c r="E13" s="3"/>
      <c r="H13" s="8" t="s">
        <v>37</v>
      </c>
      <c r="I13" s="2"/>
      <c r="J13" s="2"/>
      <c r="K13" s="2"/>
      <c r="L13" s="3"/>
    </row>
    <row r="14">
      <c r="A14" s="15" t="s">
        <v>38</v>
      </c>
      <c r="B14" s="15" t="s">
        <v>39</v>
      </c>
      <c r="H14" s="15" t="s">
        <v>40</v>
      </c>
      <c r="I14" s="15" t="s">
        <v>39</v>
      </c>
    </row>
    <row r="15">
      <c r="A15" s="10" t="str">
        <f>MOTOR_DASHBOARD!D4</f>
        <v>COCHABAMBA</v>
      </c>
      <c r="B15" s="12">
        <f>MOTOR_DASHBOARD!E4</f>
        <v>30</v>
      </c>
      <c r="H15" s="10" t="str">
        <f>MOTOR_DASHBOARD!A4</f>
        <v>ASIGNADO</v>
      </c>
      <c r="I15" s="12">
        <f>MOTOR_DASHBOARD!B4</f>
        <v>73</v>
      </c>
    </row>
    <row r="16">
      <c r="A16" s="10" t="str">
        <f>MOTOR_DASHBOARD!D5</f>
        <v>LA PAZ</v>
      </c>
      <c r="B16" s="12">
        <f>MOTOR_DASHBOARD!E5</f>
        <v>39</v>
      </c>
      <c r="H16" s="10" t="str">
        <f>MOTOR_DASHBOARD!A5</f>
        <v>DISPONIBLE</v>
      </c>
      <c r="I16" s="12">
        <f>MOTOR_DASHBOARD!B5</f>
        <v>68</v>
      </c>
    </row>
    <row r="17">
      <c r="A17" s="10" t="str">
        <f>MOTOR_DASHBOARD!D6</f>
        <v>ORURO</v>
      </c>
      <c r="B17" s="12">
        <f>MOTOR_DASHBOARD!E6</f>
        <v>10</v>
      </c>
      <c r="H17" s="10" t="str">
        <f>MOTOR_DASHBOARD!A6</f>
        <v>POR ASIGNAR</v>
      </c>
      <c r="I17" s="12">
        <f>MOTOR_DASHBOARD!B6</f>
        <v>35</v>
      </c>
    </row>
    <row r="18">
      <c r="A18" s="10" t="str">
        <f>MOTOR_DASHBOARD!D7</f>
        <v>SANTA CRUZ</v>
      </c>
      <c r="B18" s="12">
        <f>MOTOR_DASHBOARD!E7</f>
        <v>85</v>
      </c>
      <c r="H18" s="10" t="str">
        <f>MOTOR_DASHBOARD!A7</f>
        <v>PERDIDO</v>
      </c>
      <c r="I18" s="12">
        <f>MOTOR_DASHBOARD!B7</f>
        <v>1</v>
      </c>
    </row>
    <row r="19">
      <c r="A19" s="10" t="str">
        <f>MOTOR_DASHBOARD!D8</f>
        <v>SUCRE</v>
      </c>
      <c r="B19" s="12">
        <f>MOTOR_DASHBOARD!E8</f>
        <v>6</v>
      </c>
    </row>
    <row r="20">
      <c r="A20" s="10" t="str">
        <f>MOTOR_DASHBOARD!D9</f>
        <v>TARIJA</v>
      </c>
      <c r="B20" s="12">
        <f>MOTOR_DASHBOARD!E9</f>
        <v>7</v>
      </c>
    </row>
    <row r="21" ht="15.75" customHeight="1"/>
    <row r="22" ht="15.75" customHeight="1"/>
    <row r="23" ht="15.75" customHeight="1">
      <c r="A23" s="8" t="s">
        <v>41</v>
      </c>
      <c r="B23" s="2"/>
      <c r="C23" s="2"/>
      <c r="D23" s="2"/>
      <c r="E23" s="2"/>
      <c r="F23" s="2"/>
      <c r="G23" s="2"/>
      <c r="H23" s="2"/>
      <c r="I23" s="3"/>
    </row>
    <row r="24" ht="15.75" customHeight="1">
      <c r="A24" s="15" t="s">
        <v>42</v>
      </c>
      <c r="B24" s="15" t="s">
        <v>43</v>
      </c>
      <c r="C24" s="15" t="s">
        <v>44</v>
      </c>
      <c r="D24" s="15" t="s">
        <v>45</v>
      </c>
      <c r="E24" s="15" t="s">
        <v>46</v>
      </c>
      <c r="F24" s="15" t="s">
        <v>47</v>
      </c>
      <c r="G24" s="15" t="s">
        <v>38</v>
      </c>
    </row>
    <row r="25" ht="15.75" customHeight="1">
      <c r="A25" s="10" t="str">
        <f t="array" ref="A25">IFERROR(INDEX(MOVIMIENTOS!$A$5:$A$53,COUNTA(MOVIMIENTOS!$A$5:$A$53)-9),"")</f>
        <v>MOV-0040</v>
      </c>
      <c r="B25" s="16">
        <f t="array" ref="B25">IFERROR(INDEX(MOVIMIENTOS!$B$5:$B$53,COUNTA(MOVIMIENTOS!$A$5:$A$53)-9),"")</f>
        <v>46176</v>
      </c>
      <c r="C25" s="10" t="str">
        <f t="array" ref="C25">IFERROR(INDEX(MOVIMIENTOS!$C$5:$C$53,COUNTA(MOVIMIENTOS!$A$5:$A$53)-9),"")</f>
        <v>ENTREGA INICIAL</v>
      </c>
      <c r="D25" s="10" t="str">
        <f t="array" ref="D25">IFERROR(INDEX(MOVIMIENTOS!$D$5:$D$53,COUNTA(MOVIMIENTOS!$A$5:$A$53)-9),"")</f>
        <v>BEX-2039</v>
      </c>
      <c r="E25" s="10" t="str">
        <f t="array" ref="E25">IFERROR(INDEX(MOVIMIENTOS!$F$5:$F$53,COUNTA(MOVIMIENTOS!$A$5:$A$53)-9),"")</f>
        <v>CESAR OSCAR LAURA CHUYMA</v>
      </c>
      <c r="F25" s="10" t="str">
        <f t="array" ref="F25">IFERROR(INDEX(MOVIMIENTOS!$G$5:$G$53,COUNTA(MOVIMIENTOS!$A$5:$A$53)-9),"")</f>
        <v>JOEL DAVID HUANCA HUANCA</v>
      </c>
      <c r="G25" s="10" t="str">
        <f t="array" ref="G25">IFERROR(INDEX(MOVIMIENTOS!$H$5:$H$53,COUNTA(MOVIMIENTOS!$A$5:$A$53)-9),"")</f>
        <v>LA PAZ</v>
      </c>
    </row>
    <row r="26" ht="15.75" customHeight="1">
      <c r="A26" s="10" t="str">
        <f t="array" ref="A26">IFERROR(INDEX(MOVIMIENTOS!$A$5:$A$53,COUNTA(MOVIMIENTOS!$A$5:$A$53)-8),"")</f>
        <v>MOV-0041</v>
      </c>
      <c r="B26" s="16">
        <f t="array" ref="B26">IFERROR(INDEX(MOVIMIENTOS!$B$5:$B$53,COUNTA(MOVIMIENTOS!$A$5:$A$53)-8),"")</f>
        <v>46176</v>
      </c>
      <c r="C26" s="10" t="str">
        <f t="array" ref="C26">IFERROR(INDEX(MOVIMIENTOS!$C$5:$C$53,COUNTA(MOVIMIENTOS!$A$5:$A$53)-8),"")</f>
        <v>ENTREGA INICIAL</v>
      </c>
      <c r="D26" s="10" t="str">
        <f t="array" ref="D26">IFERROR(INDEX(MOVIMIENTOS!$D$5:$D$53,COUNTA(MOVIMIENTOS!$A$5:$A$53)-8),"")</f>
        <v>BEX-2040</v>
      </c>
      <c r="E26" s="10" t="str">
        <f t="array" ref="E26">IFERROR(INDEX(MOVIMIENTOS!$F$5:$F$53,COUNTA(MOVIMIENTOS!$A$5:$A$53)-8),"")</f>
        <v>MILENKO ADRIANA ORDONEZ NUNEZ</v>
      </c>
      <c r="F26" s="10" t="str">
        <f t="array" ref="F26">IFERROR(INDEX(MOVIMIENTOS!$G$5:$G$53,COUNTA(MOVIMIENTOS!$A$5:$A$53)-8),"")</f>
        <v>MILENKO ADRIANA ORDONEZ NUNEZ</v>
      </c>
      <c r="G26" s="10" t="str">
        <f t="array" ref="G26">IFERROR(INDEX(MOVIMIENTOS!$H$5:$H$53,COUNTA(MOVIMIENTOS!$A$5:$A$53)-8),"")</f>
        <v>LA PAZ</v>
      </c>
    </row>
    <row r="27" ht="15.75" customHeight="1">
      <c r="A27" s="10" t="str">
        <f t="array" ref="A27">IFERROR(INDEX(MOVIMIENTOS!$A$5:$A$53,COUNTA(MOVIMIENTOS!$A$5:$A$53)-7),"")</f>
        <v>MOV-0042</v>
      </c>
      <c r="B27" s="16">
        <f t="array" ref="B27">IFERROR(INDEX(MOVIMIENTOS!$B$5:$B$53,COUNTA(MOVIMIENTOS!$A$5:$A$53)-7),"")</f>
        <v>46176</v>
      </c>
      <c r="C27" s="10" t="str">
        <f t="array" ref="C27">IFERROR(INDEX(MOVIMIENTOS!$C$5:$C$53,COUNTA(MOVIMIENTOS!$A$5:$A$53)-7),"")</f>
        <v>ENTREGA INICIAL</v>
      </c>
      <c r="D27" s="10" t="str">
        <f t="array" ref="D27">IFERROR(INDEX(MOVIMIENTOS!$D$5:$D$53,COUNTA(MOVIMIENTOS!$A$5:$A$53)-7),"")</f>
        <v>BEX-2041</v>
      </c>
      <c r="E27" s="10" t="str">
        <f t="array" ref="E27">IFERROR(INDEX(MOVIMIENTOS!$F$5:$F$53,COUNTA(MOVIMIENTOS!$A$5:$A$53)-7),"")</f>
        <v>RUTH CELINA PONCE PACO</v>
      </c>
      <c r="F27" s="10" t="str">
        <f t="array" ref="F27">IFERROR(INDEX(MOVIMIENTOS!$G$5:$G$53,COUNTA(MOVIMIENTOS!$A$5:$A$53)-7),"")</f>
        <v>MILENKO ADRIANA ORDONEZ NUNEZ</v>
      </c>
      <c r="G27" s="10" t="str">
        <f t="array" ref="G27">IFERROR(INDEX(MOVIMIENTOS!$H$5:$H$53,COUNTA(MOVIMIENTOS!$A$5:$A$53)-7),"")</f>
        <v>LA PAZ</v>
      </c>
    </row>
    <row r="28" ht="15.75" customHeight="1">
      <c r="A28" s="10" t="str">
        <f t="array" ref="A28">IFERROR(INDEX(MOVIMIENTOS!$A$5:$A$53,COUNTA(MOVIMIENTOS!$A$5:$A$53)-6),"")</f>
        <v>MOV-0043</v>
      </c>
      <c r="B28" s="16">
        <f t="array" ref="B28">IFERROR(INDEX(MOVIMIENTOS!$B$5:$B$53,COUNTA(MOVIMIENTOS!$A$5:$A$53)-6),"")</f>
        <v>46176</v>
      </c>
      <c r="C28" s="10" t="str">
        <f t="array" ref="C28">IFERROR(INDEX(MOVIMIENTOS!$C$5:$C$53,COUNTA(MOVIMIENTOS!$A$5:$A$53)-6),"")</f>
        <v>ENTREGA INICIAL</v>
      </c>
      <c r="D28" s="10" t="str">
        <f t="array" ref="D28">IFERROR(INDEX(MOVIMIENTOS!$D$5:$D$53,COUNTA(MOVIMIENTOS!$A$5:$A$53)-6),"")</f>
        <v>BEX-2042</v>
      </c>
      <c r="E28" s="10" t="str">
        <f t="array" ref="E28">IFERROR(INDEX(MOVIMIENTOS!$F$5:$F$53,COUNTA(MOVIMIENTOS!$A$5:$A$53)-6),"")</f>
        <v>SILVANA ASUNCION ORDONEZ NUNEZ</v>
      </c>
      <c r="F28" s="10" t="str">
        <f t="array" ref="F28">IFERROR(INDEX(MOVIMIENTOS!$G$5:$G$53,COUNTA(MOVIMIENTOS!$A$5:$A$53)-6),"")</f>
        <v>MILENKO ADRIANA ORDONEZ NUNEZ</v>
      </c>
      <c r="G28" s="10" t="str">
        <f t="array" ref="G28">IFERROR(INDEX(MOVIMIENTOS!$H$5:$H$53,COUNTA(MOVIMIENTOS!$A$5:$A$53)-6),"")</f>
        <v>LA PAZ</v>
      </c>
    </row>
    <row r="29" ht="15.75" customHeight="1">
      <c r="A29" s="10" t="str">
        <f t="array" ref="A29">IFERROR(INDEX(MOVIMIENTOS!$A$5:$A$53,COUNTA(MOVIMIENTOS!$A$5:$A$53)-5),"")</f>
        <v>MOV-0044</v>
      </c>
      <c r="B29" s="16">
        <f t="array" ref="B29">IFERROR(INDEX(MOVIMIENTOS!$B$5:$B$53,COUNTA(MOVIMIENTOS!$A$5:$A$53)-5),"")</f>
        <v>46176</v>
      </c>
      <c r="C29" s="10" t="str">
        <f t="array" ref="C29">IFERROR(INDEX(MOVIMIENTOS!$C$5:$C$53,COUNTA(MOVIMIENTOS!$A$5:$A$53)-5),"")</f>
        <v>ENTREGA INICIAL</v>
      </c>
      <c r="D29" s="10" t="str">
        <f t="array" ref="D29">IFERROR(INDEX(MOVIMIENTOS!$D$5:$D$53,COUNTA(MOVIMIENTOS!$A$5:$A$53)-5),"")</f>
        <v>BEX-2043</v>
      </c>
      <c r="E29" s="10" t="str">
        <f t="array" ref="E29">IFERROR(INDEX(MOVIMIENTOS!$F$5:$F$53,COUNTA(MOVIMIENTOS!$A$5:$A$53)-5),"")</f>
        <v>ADILSON ALMANZA GOMEZ</v>
      </c>
      <c r="F29" s="10" t="str">
        <f t="array" ref="F29">IFERROR(INDEX(MOVIMIENTOS!$G$5:$G$53,COUNTA(MOVIMIENTOS!$A$5:$A$53)-5),"")</f>
        <v>MIRIAM ROSA CHAMBI QUISPE</v>
      </c>
      <c r="G29" s="10" t="str">
        <f t="array" ref="G29">IFERROR(INDEX(MOVIMIENTOS!$H$5:$H$53,COUNTA(MOVIMIENTOS!$A$5:$A$53)-5),"")</f>
        <v>ORURO</v>
      </c>
    </row>
    <row r="30" ht="15.75" customHeight="1">
      <c r="A30" s="10" t="str">
        <f t="array" ref="A30">IFERROR(INDEX(MOVIMIENTOS!$A$5:$A$53,COUNTA(MOVIMIENTOS!$A$5:$A$53)-4),"")</f>
        <v>MOV-0045</v>
      </c>
      <c r="B30" s="16">
        <f t="array" ref="B30">IFERROR(INDEX(MOVIMIENTOS!$B$5:$B$53,COUNTA(MOVIMIENTOS!$A$5:$A$53)-4),"")</f>
        <v>46176</v>
      </c>
      <c r="C30" s="10" t="str">
        <f t="array" ref="C30">IFERROR(INDEX(MOVIMIENTOS!$C$5:$C$53,COUNTA(MOVIMIENTOS!$A$5:$A$53)-4),"")</f>
        <v>ENTREGA INICIAL</v>
      </c>
      <c r="D30" s="10" t="str">
        <f t="array" ref="D30">IFERROR(INDEX(MOVIMIENTOS!$D$5:$D$53,COUNTA(MOVIMIENTOS!$A$5:$A$53)-4),"")</f>
        <v>BEX-2044</v>
      </c>
      <c r="E30" s="10" t="str">
        <f t="array" ref="E30">IFERROR(INDEX(MOVIMIENTOS!$F$5:$F$53,COUNTA(MOVIMIENTOS!$A$5:$A$53)-4),"")</f>
        <v>ARACELI MARLENE TAPIA GUERRA</v>
      </c>
      <c r="F30" s="10" t="str">
        <f t="array" ref="F30">IFERROR(INDEX(MOVIMIENTOS!$G$5:$G$53,COUNTA(MOVIMIENTOS!$A$5:$A$53)-4),"")</f>
        <v>MIRIAM ROSA CHAMBI QUISPE</v>
      </c>
      <c r="G30" s="10" t="str">
        <f t="array" ref="G30">IFERROR(INDEX(MOVIMIENTOS!$H$5:$H$53,COUNTA(MOVIMIENTOS!$A$5:$A$53)-4),"")</f>
        <v>ORURO</v>
      </c>
    </row>
    <row r="31" ht="15.75" customHeight="1">
      <c r="A31" s="10" t="str">
        <f t="array" ref="A31">IFERROR(INDEX(MOVIMIENTOS!$A$5:$A$53,COUNTA(MOVIMIENTOS!$A$5:$A$53)-3),"")</f>
        <v>MOV-0046</v>
      </c>
      <c r="B31" s="16">
        <f t="array" ref="B31">IFERROR(INDEX(MOVIMIENTOS!$B$5:$B$53,COUNTA(MOVIMIENTOS!$A$5:$A$53)-3),"")</f>
        <v>46176</v>
      </c>
      <c r="C31" s="10" t="str">
        <f t="array" ref="C31">IFERROR(INDEX(MOVIMIENTOS!$C$5:$C$53,COUNTA(MOVIMIENTOS!$A$5:$A$53)-3),"")</f>
        <v>REPOSICION</v>
      </c>
      <c r="D31" s="10" t="str">
        <f t="array" ref="D31">IFERROR(INDEX(MOVIMIENTOS!$D$5:$D$53,COUNTA(MOVIMIENTOS!$A$5:$A$53)-3),"")</f>
        <v>BEX-2045</v>
      </c>
      <c r="E31" s="10" t="str">
        <f t="array" ref="E31">IFERROR(INDEX(MOVIMIENTOS!$F$5:$F$53,COUNTA(MOVIMIENTOS!$A$5:$A$53)-3),"")</f>
        <v>BRENDA XIMENA BARBA VACA</v>
      </c>
      <c r="F31" s="10" t="str">
        <f t="array" ref="F31">IFERROR(INDEX(MOVIMIENTOS!$G$5:$G$53,COUNTA(MOVIMIENTOS!$A$5:$A$53)-3),"")</f>
        <v>BEATRIZ OVIEDO OVIEDO</v>
      </c>
      <c r="G31" s="10" t="str">
        <f t="array" ref="G31">IFERROR(INDEX(MOVIMIENTOS!$H$5:$H$53,COUNTA(MOVIMIENTOS!$A$5:$A$53)-3),"")</f>
        <v>SANTA CRUZ</v>
      </c>
    </row>
    <row r="32" ht="15.75" customHeight="1">
      <c r="A32" s="10" t="str">
        <f t="array" ref="A32">IFERROR(INDEX(MOVIMIENTOS!$A$5:$A$53,COUNTA(MOVIMIENTOS!$A$5:$A$53)-2),"")</f>
        <v>MOV-0047</v>
      </c>
      <c r="B32" s="16">
        <f t="array" ref="B32">IFERROR(INDEX(MOVIMIENTOS!$B$5:$B$53,COUNTA(MOVIMIENTOS!$A$5:$A$53)-2),"")</f>
        <v>46176</v>
      </c>
      <c r="C32" s="10" t="str">
        <f t="array" ref="C32">IFERROR(INDEX(MOVIMIENTOS!$C$5:$C$53,COUNTA(MOVIMIENTOS!$A$5:$A$53)-2),"")</f>
        <v>REPOSICION</v>
      </c>
      <c r="D32" s="10" t="str">
        <f t="array" ref="D32">IFERROR(INDEX(MOVIMIENTOS!$D$5:$D$53,COUNTA(MOVIMIENTOS!$A$5:$A$53)-2),"")</f>
        <v>BEX-2046</v>
      </c>
      <c r="E32" s="10" t="str">
        <f t="array" ref="E32">IFERROR(INDEX(MOVIMIENTOS!$F$5:$F$53,COUNTA(MOVIMIENTOS!$A$5:$A$53)-2),"")</f>
        <v>MARCO ANTONIO ESCOBAR ALVAREZ</v>
      </c>
      <c r="F32" s="10" t="str">
        <f t="array" ref="F32">IFERROR(INDEX(MOVIMIENTOS!$G$5:$G$53,COUNTA(MOVIMIENTOS!$A$5:$A$53)-2),"")</f>
        <v>BEATRIZ OVIEDO OVIEDO</v>
      </c>
      <c r="G32" s="10" t="str">
        <f t="array" ref="G32">IFERROR(INDEX(MOVIMIENTOS!$H$5:$H$53,COUNTA(MOVIMIENTOS!$A$5:$A$53)-2),"")</f>
        <v>SANTA CRUZ</v>
      </c>
    </row>
    <row r="33" ht="15.75" customHeight="1">
      <c r="A33" s="10" t="str">
        <f t="array" ref="A33">IFERROR(INDEX(MOVIMIENTOS!$A$5:$A$53,COUNTA(MOVIMIENTOS!$A$5:$A$53)-1),"")</f>
        <v>MOV-0048</v>
      </c>
      <c r="B33" s="16">
        <f t="array" ref="B33">IFERROR(INDEX(MOVIMIENTOS!$B$5:$B$53,COUNTA(MOVIMIENTOS!$A$5:$A$53)-1),"")</f>
        <v>46176</v>
      </c>
      <c r="C33" s="10" t="str">
        <f t="array" ref="C33">IFERROR(INDEX(MOVIMIENTOS!$C$5:$C$53,COUNTA(MOVIMIENTOS!$A$5:$A$53)-1),"")</f>
        <v>PERDIDA</v>
      </c>
      <c r="D33" s="10" t="str">
        <f t="array" ref="D33">IFERROR(INDEX(MOVIMIENTOS!$D$5:$D$53,COUNTA(MOVIMIENTOS!$A$5:$A$53)-1),"")</f>
        <v>BEX-0518</v>
      </c>
      <c r="E33" s="10" t="str">
        <f t="array" ref="E33">IFERROR(INDEX(MOVIMIENTOS!$F$5:$F$53,COUNTA(MOVIMIENTOS!$A$5:$A$53)-1),"")</f>
        <v>MARCO ANTONIO ESCOBAR ALVAREZ</v>
      </c>
      <c r="F33" s="10" t="str">
        <f t="array" ref="F33">IFERROR(INDEX(MOVIMIENTOS!$G$5:$G$53,COUNTA(MOVIMIENTOS!$A$5:$A$53)-1),"")</f>
        <v>BEATRIZ OVIEDO OVIEDO</v>
      </c>
      <c r="G33" s="10" t="str">
        <f t="array" ref="G33">IFERROR(INDEX(MOVIMIENTOS!$H$5:$H$53,COUNTA(MOVIMIENTOS!$A$5:$A$53)-1),"")</f>
        <v>SANTA CRUZ</v>
      </c>
    </row>
    <row r="34" ht="15.75" customHeight="1">
      <c r="A34" s="10" t="str">
        <f t="array" ref="A34">IFERROR(INDEX(MOVIMIENTOS!$A$5:$A$53,COUNTA(MOVIMIENTOS!$A$5:$A$53)+0),"")</f>
        <v>MOV-0049</v>
      </c>
      <c r="B34" s="16">
        <f t="array" ref="B34">IFERROR(INDEX(MOVIMIENTOS!$B$5:$B$53,COUNTA(MOVIMIENTOS!$A$5:$A$53)+0),"")</f>
        <v>46176</v>
      </c>
      <c r="C34" s="10" t="str">
        <f t="array" ref="C34">IFERROR(INDEX(MOVIMIENTOS!$C$5:$C$53,COUNTA(MOVIMIENTOS!$A$5:$A$53)+0),"")</f>
        <v>PERDIDA</v>
      </c>
      <c r="D34" s="10" t="str">
        <f t="array" ref="D34">IFERROR(INDEX(MOVIMIENTOS!$D$5:$D$53,COUNTA(MOVIMIENTOS!$A$5:$A$53)+0),"")</f>
        <v>BEX-2045</v>
      </c>
      <c r="E34" s="10" t="str">
        <f t="array" ref="E34">IFERROR(INDEX(MOVIMIENTOS!$F$5:$F$53,COUNTA(MOVIMIENTOS!$A$5:$A$53)+0),"")</f>
        <v>BRENDA XIMENA BARBA VACA</v>
      </c>
      <c r="F34" s="10" t="str">
        <f t="array" ref="F34">IFERROR(INDEX(MOVIMIENTOS!$G$5:$G$53,COUNTA(MOVIMIENTOS!$A$5:$A$53)+0),"")</f>
        <v>BEATRIZ OVIEDO OVIEDO</v>
      </c>
      <c r="G34" s="10" t="str">
        <f t="array" ref="G34">IFERROR(INDEX(MOVIMIENTOS!$H$5:$H$53,COUNTA(MOVIMIENTOS!$A$5:$A$53)+0),"")</f>
        <v>SANTA CRUZ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>
      <c r="A102" s="8" t="s">
        <v>48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</row>
    <row r="103" ht="15.75" customHeight="1">
      <c r="A103" s="17" t="s">
        <v>49</v>
      </c>
      <c r="B103" s="18" t="s">
        <v>50</v>
      </c>
      <c r="D103" s="17" t="s">
        <v>51</v>
      </c>
      <c r="E103" s="18" t="s">
        <v>50</v>
      </c>
      <c r="G103" s="17" t="s">
        <v>52</v>
      </c>
      <c r="H103" s="18" t="s">
        <v>50</v>
      </c>
      <c r="J103" s="17" t="s">
        <v>53</v>
      </c>
      <c r="K103" s="19">
        <f>SUMPRODUCT((IF($B$103="(TODOS)",1,--(INVENTARIO_GENERAL!$G103=$B$103)))*(IF($E$103="(TODOS)",1,--(INVENTARIO_GENERAL!$F103=$E$103)))*(IF($H$103="(TODOS)",1,--(INVENTARIO_GENERAL!$C103=$H$103))))</f>
        <v>1</v>
      </c>
    </row>
    <row r="104" ht="15.75" customHeight="1"/>
    <row r="105" ht="15.75" customHeight="1">
      <c r="A105" s="8" t="s">
        <v>54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</row>
    <row r="106" ht="15.75" customHeight="1">
      <c r="A106" s="15" t="s">
        <v>45</v>
      </c>
      <c r="B106" s="15" t="s">
        <v>55</v>
      </c>
      <c r="C106" s="15" t="s">
        <v>56</v>
      </c>
      <c r="D106" s="15" t="s">
        <v>57</v>
      </c>
      <c r="E106" s="15" t="s">
        <v>58</v>
      </c>
      <c r="F106" s="15" t="s">
        <v>47</v>
      </c>
      <c r="G106" s="15" t="s">
        <v>38</v>
      </c>
      <c r="H106" s="15" t="s">
        <v>59</v>
      </c>
      <c r="I106" s="15" t="s">
        <v>60</v>
      </c>
      <c r="J106" s="15" t="s">
        <v>61</v>
      </c>
      <c r="K106" s="15" t="s">
        <v>62</v>
      </c>
      <c r="L106" s="15" t="s">
        <v>63</v>
      </c>
    </row>
    <row r="107" ht="15.75" customHeight="1">
      <c r="A107" s="10" t="str">
        <f>IFERROR(TAKE(_xlws.FILTER(TablaInventarioGeneral,(IF($B$103="(TODOS)",1,--(INVENTARIO_GENERAL!$G107=$B$103)))*(IF($E$103="(TODOS)",1,--(INVENTARIO_GENERAL!$F107=$E$103)))*(IF($H$103="(TODOS)",1,--(INVENTARIO_GENERAL!$C107=$H$103)))),30),"Sin resultados para este filtro")</f>
        <v>Sin resultados para este filtro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J6:K6"/>
    <mergeCell ref="M6:N6"/>
    <mergeCell ref="A1:N1"/>
    <mergeCell ref="A2:N2"/>
    <mergeCell ref="A3:N3"/>
    <mergeCell ref="A5:N5"/>
    <mergeCell ref="A6:B6"/>
    <mergeCell ref="G6:H6"/>
    <mergeCell ref="A7:B7"/>
    <mergeCell ref="M7:N7"/>
    <mergeCell ref="J10:K10"/>
    <mergeCell ref="H13:L13"/>
    <mergeCell ref="G7:H7"/>
    <mergeCell ref="J7:K7"/>
    <mergeCell ref="G9:H9"/>
    <mergeCell ref="J9:K9"/>
    <mergeCell ref="M9:N9"/>
    <mergeCell ref="G10:H10"/>
    <mergeCell ref="M10:N10"/>
    <mergeCell ref="A23:I23"/>
    <mergeCell ref="A102:N102"/>
    <mergeCell ref="A105:N105"/>
    <mergeCell ref="D6:E6"/>
    <mergeCell ref="D7:E7"/>
    <mergeCell ref="A9:B9"/>
    <mergeCell ref="D9:E9"/>
    <mergeCell ref="A10:B10"/>
    <mergeCell ref="D10:E10"/>
    <mergeCell ref="A13:E13"/>
  </mergeCells>
  <dataValidations>
    <dataValidation type="list" allowBlank="1" showErrorMessage="1" sqref="B103">
      <formula1>val_fReg</formula1>
    </dataValidation>
    <dataValidation type="list" allowBlank="1" showErrorMessage="1" sqref="E103">
      <formula1>val_fSup</formula1>
    </dataValidation>
    <dataValidation type="list" allowBlank="1" showErrorMessage="1" sqref="H103">
      <formula1>val_fEst</formula1>
    </dataValidation>
  </dataValidations>
  <printOptions/>
  <pageMargins bottom="0.6" footer="0.0" header="0.0" left="0.5" right="0.5" top="0.6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C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40.0"/>
    <col customWidth="1" min="4" max="4" width="18.0"/>
    <col customWidth="1" min="5" max="6" width="16.0"/>
    <col customWidth="1" min="7" max="8" width="30.0"/>
    <col customWidth="1" min="9" max="9" width="16.0"/>
    <col customWidth="1" min="10" max="26" width="8.86"/>
  </cols>
  <sheetData>
    <row r="1" ht="30.0" customHeight="1">
      <c r="A1" s="1" t="s">
        <v>64</v>
      </c>
      <c r="B1" s="2"/>
      <c r="C1" s="2"/>
      <c r="D1" s="2"/>
      <c r="E1" s="2"/>
      <c r="F1" s="2"/>
      <c r="G1" s="2"/>
      <c r="H1" s="2"/>
      <c r="I1" s="3"/>
    </row>
    <row r="2">
      <c r="A2" s="4" t="s">
        <v>23</v>
      </c>
      <c r="B2" s="5"/>
      <c r="C2" s="5"/>
      <c r="D2" s="5"/>
      <c r="E2" s="5"/>
      <c r="F2" s="5"/>
      <c r="G2" s="5"/>
      <c r="H2" s="5"/>
      <c r="I2" s="6"/>
    </row>
    <row r="3" ht="45.75" customHeight="1">
      <c r="A3" s="7" t="s">
        <v>65</v>
      </c>
      <c r="B3" s="5"/>
      <c r="C3" s="5"/>
      <c r="D3" s="5"/>
      <c r="E3" s="5"/>
      <c r="F3" s="5"/>
      <c r="G3" s="5"/>
      <c r="H3" s="5"/>
      <c r="I3" s="6"/>
    </row>
    <row r="5">
      <c r="B5" s="17" t="s">
        <v>66</v>
      </c>
      <c r="C5" s="20" t="s">
        <v>67</v>
      </c>
      <c r="D5" s="5"/>
      <c r="E5" s="6"/>
    </row>
    <row r="6">
      <c r="B6" s="17" t="s">
        <v>68</v>
      </c>
      <c r="C6" s="21" t="s">
        <v>69</v>
      </c>
      <c r="D6" s="5"/>
      <c r="E6" s="6"/>
    </row>
    <row r="8">
      <c r="A8" s="8" t="s">
        <v>70</v>
      </c>
      <c r="B8" s="2"/>
      <c r="C8" s="2"/>
      <c r="D8" s="2"/>
      <c r="E8" s="2"/>
      <c r="F8" s="2"/>
      <c r="G8" s="2"/>
      <c r="H8" s="2"/>
      <c r="I8" s="3"/>
    </row>
    <row r="9">
      <c r="B9" s="17" t="s">
        <v>71</v>
      </c>
      <c r="C9" s="22" t="str">
        <f t="array" ref="C9">IF($C$5="","-",IFERROR(XLOOKUP($C$5,INVENTARIO_GENERAL!$A$5:$A$181,INVENTARIO_GENERAL!$A$5:$A$181),"NO ENCONTRADO"))</f>
        <v>BEX-0151</v>
      </c>
      <c r="D9" s="5"/>
      <c r="E9" s="6"/>
    </row>
    <row r="10">
      <c r="B10" s="17" t="s">
        <v>72</v>
      </c>
      <c r="C10" s="22" t="str">
        <f t="array" ref="C10">IF($C$5="","-",IFERROR(XLOOKUP($C$5,INVENTARIO_GENERAL!$A$5:$A$181,INVENTARIO_GENERAL!$B$5:$B$181),"-"))</f>
        <v>LEGACY (BEX-0xxx)</v>
      </c>
      <c r="D10" s="5"/>
      <c r="E10" s="6"/>
    </row>
    <row r="11">
      <c r="B11" s="17" t="s">
        <v>73</v>
      </c>
      <c r="C11" s="22"/>
      <c r="D11" s="5"/>
      <c r="E11" s="6"/>
    </row>
    <row r="12">
      <c r="B12" s="17" t="s">
        <v>74</v>
      </c>
      <c r="C12" s="22" t="str">
        <f t="array" ref="C12">IF($C$5="","-",IFERROR(XLOOKUP($C$5,INVENTARIO_GENERAL!$A$5:$A$181,INVENTARIO_GENERAL!$D$5:$D$181),"-"))</f>
        <v>SAMIEL ARTURO TORRICOS VILLARREAL</v>
      </c>
      <c r="D12" s="5"/>
      <c r="E12" s="6"/>
    </row>
    <row r="13">
      <c r="B13" s="17" t="s">
        <v>75</v>
      </c>
      <c r="C13" s="22" t="str">
        <f t="array" ref="C13">IF($C$5="","-",IFERROR(XLOOKUP($C$5,INVENTARIO_GENERAL!$A$5:$A$181,INVENTARIO_GENERAL!$E$5:$E$181),"-"))</f>
        <v>POR REGISTRAR</v>
      </c>
      <c r="D13" s="5"/>
      <c r="E13" s="6"/>
    </row>
    <row r="14">
      <c r="B14" s="17" t="s">
        <v>76</v>
      </c>
      <c r="C14" s="22" t="str">
        <f t="array" ref="C14">IF($C$5="","-",IFERROR(XLOOKUP($C$5,INVENTARIO_GENERAL!$A$5:$A$181,INVENTARIO_GENERAL!$F$5:$F$181),"-"))</f>
        <v>CLAUDIA SHASKIA CALLE NINA</v>
      </c>
      <c r="D14" s="5"/>
      <c r="E14" s="6"/>
    </row>
    <row r="15">
      <c r="B15" s="17" t="s">
        <v>77</v>
      </c>
      <c r="C15" s="22" t="str">
        <f t="array" ref="C15">IF($C$5="","-",IFERROR(XLOOKUP($C$5,INVENTARIO_GENERAL!$A$5:$A$181,INVENTARIO_GENERAL!$G$5:$G$181),"-"))</f>
        <v>LA PAZ</v>
      </c>
      <c r="D15" s="5"/>
      <c r="E15" s="6"/>
    </row>
    <row r="16">
      <c r="B16" s="17" t="s">
        <v>78</v>
      </c>
      <c r="C16" s="23" t="str">
        <f t="array" ref="C16">IF($C$5="","-",IFERROR(XLOOKUP($C$5,INVENTARIO_GENERAL!$A$5:$A$181,INVENTARIO_GENERAL!$H$5:$H$181),"-"))</f>
        <v/>
      </c>
      <c r="D16" s="5"/>
      <c r="E16" s="6"/>
    </row>
    <row r="17">
      <c r="B17" s="17" t="s">
        <v>79</v>
      </c>
      <c r="C17" s="23" t="str">
        <f t="array" ref="C17">IF($C$5="","-",IFERROR(XLOOKUP($C$5,INVENTARIO_GENERAL!$A$5:$A$181,INVENTARIO_GENERAL!$I$5:$I$181),"-"))</f>
        <v/>
      </c>
      <c r="D17" s="5"/>
      <c r="E17" s="6"/>
    </row>
    <row r="18">
      <c r="B18" s="17" t="s">
        <v>80</v>
      </c>
      <c r="C18" s="24">
        <f t="array" ref="C18">IF($C$5="","-",IFERROR(XLOOKUP($C$5,INVENTARIO_GENERAL!$A$5:$A$181,INVENTARIO_GENERAL!$J$5:$J$181),"-"))</f>
        <v>0</v>
      </c>
      <c r="D18" s="5"/>
      <c r="E18" s="6"/>
    </row>
    <row r="19">
      <c r="B19" s="17" t="s">
        <v>81</v>
      </c>
      <c r="C19" s="22" t="str">
        <f t="array" ref="C19">IF($C$5="","-",IFERROR(XLOOKUP($C$5,INVENTARIO_GENERAL!$A$5:$A$181,INVENTARIO_GENERAL!$L$5:$L$181),"-"))</f>
        <v>Credencial antiguo </v>
      </c>
      <c r="D19" s="5"/>
      <c r="E19" s="6"/>
    </row>
    <row r="21" ht="15.75" customHeight="1">
      <c r="A21" s="8" t="s">
        <v>82</v>
      </c>
      <c r="B21" s="2"/>
      <c r="C21" s="2"/>
      <c r="D21" s="2"/>
      <c r="E21" s="2"/>
      <c r="F21" s="2"/>
      <c r="G21" s="2"/>
      <c r="H21" s="2"/>
      <c r="I21" s="3"/>
    </row>
    <row r="22" ht="15.75" customHeight="1">
      <c r="B22" s="17" t="s">
        <v>83</v>
      </c>
      <c r="C22" s="22" t="str">
        <f t="array" ref="C22">IF($C$6="","-",IFERROR(IFERROR(XLOOKUP($C$6,PERSONAL!$B$5:$B$135,PERSONAL!$B$5:$B$135),XLOOKUP($C$6,PERSONAL!$A$5:$A$135,PERSONAL!$B$5:$B$135)),"NO ENCONTRADO"))</f>
        <v>JORGE SAAVEDRA</v>
      </c>
      <c r="D22" s="5"/>
      <c r="E22" s="6"/>
    </row>
    <row r="23" ht="15.75" customHeight="1">
      <c r="B23" s="17" t="s">
        <v>75</v>
      </c>
      <c r="C23" s="22" t="str">
        <f t="array" ref="C23">IF($C$6="","-",IFERROR(XLOOKUP($C$22,PERSONAL!$B$5:$B$135,PERSONAL!$A$5:$A$135),"-"))</f>
        <v>POR REGISTRAR</v>
      </c>
      <c r="D23" s="5"/>
      <c r="E23" s="6"/>
    </row>
    <row r="24" ht="15.75" customHeight="1">
      <c r="B24" s="17" t="s">
        <v>84</v>
      </c>
      <c r="C24" s="22" t="str">
        <f t="array" ref="C24">IF($C$6="","-",IFERROR(XLOOKUP($C$22,PERSONAL!$B$5:$B$135,PERSONAL!$C$5:$C$135),"-"))</f>
        <v>SUPERVISOR</v>
      </c>
      <c r="D24" s="5"/>
      <c r="E24" s="6"/>
    </row>
    <row r="25" ht="15.75" customHeight="1">
      <c r="B25" s="17" t="s">
        <v>76</v>
      </c>
      <c r="C25" s="22" t="str">
        <f t="array" ref="C25">IF($C$6="","-",IFERROR(XLOOKUP($C$22,PERSONAL!$B$5:$B$135,PERSONAL!$D$5:$D$135),"-"))</f>
        <v>JORGE SAAVEDRA</v>
      </c>
      <c r="D25" s="5"/>
      <c r="E25" s="6"/>
    </row>
    <row r="26" ht="15.75" customHeight="1">
      <c r="B26" s="17" t="s">
        <v>77</v>
      </c>
      <c r="C26" s="22" t="str">
        <f t="array" ref="C26">IF($C$6="","-",IFERROR(XLOOKUP($C$22,PERSONAL!$B$5:$B$135,PERSONAL!$E$5:$E$135),"-"))</f>
        <v>SANTA CRUZ</v>
      </c>
      <c r="D26" s="5"/>
      <c r="E26" s="6"/>
    </row>
    <row r="27" ht="15.75" customHeight="1">
      <c r="B27" s="17" t="s">
        <v>85</v>
      </c>
      <c r="C27" s="22" t="str">
        <f t="array" ref="C27">IF($C$6="","-",IFERROR(XLOOKUP($C$22,PERSONAL!$B$5:$B$135,PERSONAL!$F$5:$F$135),"-"))</f>
        <v>ACTIVO</v>
      </c>
      <c r="D27" s="5"/>
      <c r="E27" s="6"/>
    </row>
    <row r="28" ht="15.75" customHeight="1">
      <c r="B28" s="17" t="s">
        <v>86</v>
      </c>
      <c r="C28" s="22" t="str">
        <f t="array" ref="C28">IF($C$6="","-",IFERROR(XLOOKUP($C$22,PERSONAL!$B$5:$B$135,PERSONAL!$G$5:$G$135),"-"))</f>
        <v>BEX-2000</v>
      </c>
      <c r="D28" s="5"/>
      <c r="E28" s="6"/>
    </row>
    <row r="29" ht="15.75" customHeight="1">
      <c r="B29" s="17" t="s">
        <v>81</v>
      </c>
      <c r="C29" s="22" t="str">
        <f t="array" ref="C29">IF($C$6="","-",IFERROR(XLOOKUP($C$22,PERSONAL!$B$5:$B$135,PERSONAL!$H$5:$H$135),"-"))</f>
        <v>Registrado solo en ENTREGADOS</v>
      </c>
      <c r="D29" s="5"/>
      <c r="E29" s="6"/>
    </row>
    <row r="30" ht="15.75" customHeight="1"/>
    <row r="31" ht="15.75" customHeight="1">
      <c r="A31" s="8" t="s">
        <v>87</v>
      </c>
      <c r="B31" s="2"/>
      <c r="C31" s="2"/>
      <c r="D31" s="2"/>
      <c r="E31" s="2"/>
      <c r="F31" s="2"/>
      <c r="G31" s="2"/>
      <c r="H31" s="2"/>
      <c r="I31" s="3"/>
    </row>
    <row r="32" ht="15.75" customHeight="1">
      <c r="A32" s="15" t="s">
        <v>42</v>
      </c>
      <c r="B32" s="15" t="s">
        <v>43</v>
      </c>
      <c r="C32" s="15" t="s">
        <v>44</v>
      </c>
      <c r="D32" s="15" t="s">
        <v>45</v>
      </c>
      <c r="E32" s="15" t="s">
        <v>58</v>
      </c>
      <c r="F32" s="15" t="s">
        <v>46</v>
      </c>
      <c r="G32" s="15" t="s">
        <v>47</v>
      </c>
      <c r="H32" s="15" t="s">
        <v>38</v>
      </c>
      <c r="I32" s="15" t="s">
        <v>63</v>
      </c>
    </row>
    <row r="33" ht="15.75" customHeight="1">
      <c r="A33" s="10" t="str">
        <f>IFERROR(_xlws.FILTER(TablaMovimientos,MOVIMIENTOS!$D$5:$D$53=$C$5),"Escriba un codigo BEX en C5 para ver su historial")</f>
        <v>Escriba un codigo BEX en C5 para ver su historial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I1"/>
    <mergeCell ref="A2:I2"/>
    <mergeCell ref="A3:I3"/>
    <mergeCell ref="C5:E5"/>
    <mergeCell ref="C6:E6"/>
    <mergeCell ref="A8:I8"/>
    <mergeCell ref="C9:E9"/>
    <mergeCell ref="C10:E10"/>
    <mergeCell ref="C11:E11"/>
    <mergeCell ref="C12:E12"/>
    <mergeCell ref="C13:E13"/>
    <mergeCell ref="C14:E14"/>
    <mergeCell ref="C15:E15"/>
    <mergeCell ref="C16:E16"/>
    <mergeCell ref="C25:E25"/>
    <mergeCell ref="C26:E26"/>
    <mergeCell ref="C27:E27"/>
    <mergeCell ref="C28:E28"/>
    <mergeCell ref="C29:E29"/>
    <mergeCell ref="A31:I31"/>
    <mergeCell ref="C17:E17"/>
    <mergeCell ref="C18:E18"/>
    <mergeCell ref="C19:E19"/>
    <mergeCell ref="A21:I21"/>
    <mergeCell ref="C22:E22"/>
    <mergeCell ref="C23:E23"/>
    <mergeCell ref="C24:E24"/>
  </mergeCells>
  <printOptions/>
  <pageMargins bottom="0.6" footer="0.0" header="0.0" left="0.5" right="0.5" top="0.6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5.86"/>
    <col customWidth="1" min="4" max="4" width="52.14"/>
    <col customWidth="1" min="5" max="5" width="14.71"/>
    <col customWidth="1" min="6" max="6" width="36.43"/>
    <col customWidth="1" min="7" max="7" width="16.57"/>
    <col customWidth="1" min="8" max="9" width="16.0"/>
    <col customWidth="1" min="10" max="10" width="12.0"/>
    <col customWidth="1" min="11" max="11" width="10.0"/>
    <col customWidth="1" min="12" max="12" width="40.0"/>
    <col customWidth="1" min="13" max="26" width="8.86"/>
  </cols>
  <sheetData>
    <row r="1" ht="30.0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45.75" customHeight="1">
      <c r="A3" s="7" t="s">
        <v>89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25" t="s">
        <v>45</v>
      </c>
      <c r="B4" s="25" t="s">
        <v>55</v>
      </c>
      <c r="C4" s="25" t="s">
        <v>56</v>
      </c>
      <c r="D4" s="25" t="s">
        <v>57</v>
      </c>
      <c r="E4" s="25" t="s">
        <v>58</v>
      </c>
      <c r="F4" s="25" t="s">
        <v>47</v>
      </c>
      <c r="G4" s="25" t="s">
        <v>38</v>
      </c>
      <c r="H4" s="25" t="s">
        <v>59</v>
      </c>
      <c r="I4" s="25" t="s">
        <v>60</v>
      </c>
      <c r="J4" s="25" t="s">
        <v>61</v>
      </c>
      <c r="K4" s="25" t="s">
        <v>62</v>
      </c>
      <c r="L4" s="25" t="s">
        <v>63</v>
      </c>
    </row>
    <row r="5">
      <c r="A5" s="26" t="s">
        <v>90</v>
      </c>
      <c r="B5" s="26" t="s">
        <v>91</v>
      </c>
      <c r="C5" s="27" t="s">
        <v>92</v>
      </c>
      <c r="D5" s="26" t="s">
        <v>93</v>
      </c>
      <c r="E5" s="27" t="str">
        <f t="array" ref="E5">IFERROR(XLOOKUP(#REF!,PERSONAL!$B$5:$B$135,PERSONAL!$A$5:$A$135),"POR REGISTRAR")</f>
        <v>POR REGISTRAR</v>
      </c>
      <c r="F5" s="26" t="s">
        <v>94</v>
      </c>
      <c r="G5" s="26" t="s">
        <v>95</v>
      </c>
      <c r="H5" s="28" t="str">
        <f>IF(COUNTIFS(MOVIMIENTOS!$D$5:$D$53,#REF!)=0,"",MAXIFS(MOVIMIENTOS!$B$5:$B$53,MOVIMIENTOS!$D$5:$D$53,#REF!,MOVIMIENTOS!$C$5:$C$53,"&lt;&gt;DEVOLUCION"))</f>
        <v/>
      </c>
      <c r="I5" s="28" t="str">
        <f>IF(COUNTIFS(MOVIMIENTOS!$D$5:$D$53,#REF!,MOVIMIENTOS!$C$5:$C$53,"DEVOLUCION")=0,"",MAXIFS(MOVIMIENTOS!$B$5:$B$53,MOVIMIENTOS!$D$5:$D$53,#REF!,MOVIMIENTOS!$C$5:$C$53,"DEVOLUCION"))</f>
        <v/>
      </c>
      <c r="J5" s="27">
        <f>COUNTIFS(MOVIMIENTOS!$D$5:$D$53,#REF!,MOVIMIENTOS!$C$5:$C$53,"PERDIDA")</f>
        <v>0</v>
      </c>
      <c r="K5" s="27" t="str">
        <f t="shared" ref="K5:K181" si="1">IF(NOT(ISNUMBER(#REF!)),"",TODAY()-#REF!)</f>
        <v/>
      </c>
      <c r="L5" s="26" t="s">
        <v>96</v>
      </c>
    </row>
    <row r="6">
      <c r="A6" s="26" t="s">
        <v>97</v>
      </c>
      <c r="B6" s="26" t="s">
        <v>91</v>
      </c>
      <c r="C6" s="27" t="s">
        <v>92</v>
      </c>
      <c r="D6" s="26" t="s">
        <v>98</v>
      </c>
      <c r="E6" s="27" t="str">
        <f t="array" ref="E6">IFERROR(XLOOKUP(#REF!,PERSONAL!$B$5:$B$135,PERSONAL!$A$5:$A$135),"POR REGISTRAR")</f>
        <v>POR REGISTRAR</v>
      </c>
      <c r="F6" s="26" t="s">
        <v>94</v>
      </c>
      <c r="G6" s="26" t="s">
        <v>95</v>
      </c>
      <c r="H6" s="28" t="str">
        <f>IF(COUNTIFS(MOVIMIENTOS!$D$5:$D$53,#REF!)=0,"",MAXIFS(MOVIMIENTOS!$B$5:$B$53,MOVIMIENTOS!$D$5:$D$53,#REF!,MOVIMIENTOS!$C$5:$C$53,"&lt;&gt;DEVOLUCION"))</f>
        <v/>
      </c>
      <c r="I6" s="28" t="str">
        <f>IF(COUNTIFS(MOVIMIENTOS!$D$5:$D$53,#REF!,MOVIMIENTOS!$C$5:$C$53,"DEVOLUCION")=0,"",MAXIFS(MOVIMIENTOS!$B$5:$B$53,MOVIMIENTOS!$D$5:$D$53,#REF!,MOVIMIENTOS!$C$5:$C$53,"DEVOLUCION"))</f>
        <v/>
      </c>
      <c r="J6" s="27">
        <f>COUNTIFS(MOVIMIENTOS!$D$5:$D$53,#REF!,MOVIMIENTOS!$C$5:$C$53,"PERDIDA")</f>
        <v>0</v>
      </c>
      <c r="K6" s="27" t="str">
        <f t="shared" si="1"/>
        <v/>
      </c>
      <c r="L6" s="26" t="s">
        <v>96</v>
      </c>
    </row>
    <row r="7">
      <c r="A7" s="26" t="s">
        <v>99</v>
      </c>
      <c r="B7" s="26" t="s">
        <v>91</v>
      </c>
      <c r="C7" s="27" t="s">
        <v>92</v>
      </c>
      <c r="D7" s="26" t="s">
        <v>100</v>
      </c>
      <c r="E7" s="27" t="str">
        <f t="array" ref="E7">IFERROR(XLOOKUP(#REF!,PERSONAL!$B$5:$B$135,PERSONAL!$A$5:$A$135),"POR REGISTRAR")</f>
        <v>POR REGISTRAR</v>
      </c>
      <c r="F7" s="26" t="s">
        <v>94</v>
      </c>
      <c r="G7" s="26" t="s">
        <v>95</v>
      </c>
      <c r="H7" s="28" t="str">
        <f>IF(COUNTIFS(MOVIMIENTOS!$D$5:$D$53,#REF!)=0,"",MAXIFS(MOVIMIENTOS!$B$5:$B$53,MOVIMIENTOS!$D$5:$D$53,#REF!,MOVIMIENTOS!$C$5:$C$53,"&lt;&gt;DEVOLUCION"))</f>
        <v/>
      </c>
      <c r="I7" s="28" t="str">
        <f>IF(COUNTIFS(MOVIMIENTOS!$D$5:$D$53,#REF!,MOVIMIENTOS!$C$5:$C$53,"DEVOLUCION")=0,"",MAXIFS(MOVIMIENTOS!$B$5:$B$53,MOVIMIENTOS!$D$5:$D$53,#REF!,MOVIMIENTOS!$C$5:$C$53,"DEVOLUCION"))</f>
        <v/>
      </c>
      <c r="J7" s="27">
        <f>COUNTIFS(MOVIMIENTOS!$D$5:$D$53,#REF!,MOVIMIENTOS!$C$5:$C$53,"PERDIDA")</f>
        <v>0</v>
      </c>
      <c r="K7" s="27" t="str">
        <f t="shared" si="1"/>
        <v/>
      </c>
      <c r="L7" s="26" t="s">
        <v>96</v>
      </c>
    </row>
    <row r="8">
      <c r="A8" s="26" t="s">
        <v>101</v>
      </c>
      <c r="B8" s="26" t="s">
        <v>91</v>
      </c>
      <c r="C8" s="27" t="s">
        <v>92</v>
      </c>
      <c r="D8" s="26" t="s">
        <v>102</v>
      </c>
      <c r="E8" s="27" t="str">
        <f t="array" ref="E8">IFERROR(XLOOKUP(#REF!,PERSONAL!$B$5:$B$135,PERSONAL!$A$5:$A$135),"POR REGISTRAR")</f>
        <v>POR REGISTRAR</v>
      </c>
      <c r="F8" s="26" t="s">
        <v>94</v>
      </c>
      <c r="G8" s="26" t="s">
        <v>95</v>
      </c>
      <c r="H8" s="28" t="str">
        <f>IF(COUNTIFS(MOVIMIENTOS!$D$5:$D$53,#REF!)=0,"",MAXIFS(MOVIMIENTOS!$B$5:$B$53,MOVIMIENTOS!$D$5:$D$53,#REF!,MOVIMIENTOS!$C$5:$C$53,"&lt;&gt;DEVOLUCION"))</f>
        <v/>
      </c>
      <c r="I8" s="28" t="str">
        <f>IF(COUNTIFS(MOVIMIENTOS!$D$5:$D$53,#REF!,MOVIMIENTOS!$C$5:$C$53,"DEVOLUCION")=0,"",MAXIFS(MOVIMIENTOS!$B$5:$B$53,MOVIMIENTOS!$D$5:$D$53,#REF!,MOVIMIENTOS!$C$5:$C$53,"DEVOLUCION"))</f>
        <v/>
      </c>
      <c r="J8" s="27">
        <f>COUNTIFS(MOVIMIENTOS!$D$5:$D$53,#REF!,MOVIMIENTOS!$C$5:$C$53,"PERDIDA")</f>
        <v>0</v>
      </c>
      <c r="K8" s="27" t="str">
        <f t="shared" si="1"/>
        <v/>
      </c>
      <c r="L8" s="26" t="s">
        <v>96</v>
      </c>
    </row>
    <row r="9">
      <c r="A9" s="26" t="s">
        <v>103</v>
      </c>
      <c r="B9" s="26" t="s">
        <v>91</v>
      </c>
      <c r="C9" s="27" t="s">
        <v>104</v>
      </c>
      <c r="D9" s="26" t="s">
        <v>105</v>
      </c>
      <c r="E9" s="27" t="str">
        <f t="array" ref="E9">IFERROR(XLOOKUP(#REF!,PERSONAL!$B$5:$B$135,PERSONAL!$A$5:$A$135),"POR REGISTRAR")</f>
        <v>POR REGISTRAR</v>
      </c>
      <c r="F9" s="26" t="s">
        <v>94</v>
      </c>
      <c r="G9" s="26" t="s">
        <v>95</v>
      </c>
      <c r="H9" s="28" t="str">
        <f>IF(COUNTIFS(MOVIMIENTOS!$D$5:$D$53,#REF!)=0,"",MAXIFS(MOVIMIENTOS!$B$5:$B$53,MOVIMIENTOS!$D$5:$D$53,#REF!,MOVIMIENTOS!$C$5:$C$53,"&lt;&gt;DEVOLUCION"))</f>
        <v/>
      </c>
      <c r="I9" s="28" t="str">
        <f>IF(COUNTIFS(MOVIMIENTOS!$D$5:$D$53,#REF!,MOVIMIENTOS!$C$5:$C$53,"DEVOLUCION")=0,"",MAXIFS(MOVIMIENTOS!$B$5:$B$53,MOVIMIENTOS!$D$5:$D$53,#REF!,MOVIMIENTOS!$C$5:$C$53,"DEVOLUCION"))</f>
        <v/>
      </c>
      <c r="J9" s="27">
        <f>COUNTIFS(MOVIMIENTOS!$D$5:$D$53,#REF!,MOVIMIENTOS!$C$5:$C$53,"PERDIDA")</f>
        <v>0</v>
      </c>
      <c r="K9" s="27" t="str">
        <f t="shared" si="1"/>
        <v/>
      </c>
      <c r="L9" s="26" t="s">
        <v>96</v>
      </c>
    </row>
    <row r="10">
      <c r="A10" s="26" t="s">
        <v>106</v>
      </c>
      <c r="B10" s="26" t="s">
        <v>91</v>
      </c>
      <c r="C10" s="27" t="s">
        <v>92</v>
      </c>
      <c r="D10" s="26" t="s">
        <v>94</v>
      </c>
      <c r="E10" s="27" t="str">
        <f t="array" ref="E10">IFERROR(XLOOKUP(#REF!,PERSONAL!$B$5:$B$135,PERSONAL!$A$5:$A$135),"POR REGISTRAR")</f>
        <v>POR REGISTRAR</v>
      </c>
      <c r="F10" s="26" t="s">
        <v>94</v>
      </c>
      <c r="G10" s="26" t="s">
        <v>95</v>
      </c>
      <c r="H10" s="28" t="str">
        <f>IF(COUNTIFS(MOVIMIENTOS!$D$5:$D$53,#REF!)=0,"",MAXIFS(MOVIMIENTOS!$B$5:$B$53,MOVIMIENTOS!$D$5:$D$53,#REF!,MOVIMIENTOS!$C$5:$C$53,"&lt;&gt;DEVOLUCION"))</f>
        <v/>
      </c>
      <c r="I10" s="28" t="str">
        <f>IF(COUNTIFS(MOVIMIENTOS!$D$5:$D$53,#REF!,MOVIMIENTOS!$C$5:$C$53,"DEVOLUCION")=0,"",MAXIFS(MOVIMIENTOS!$B$5:$B$53,MOVIMIENTOS!$D$5:$D$53,#REF!,MOVIMIENTOS!$C$5:$C$53,"DEVOLUCION"))</f>
        <v/>
      </c>
      <c r="J10" s="27">
        <f>COUNTIFS(MOVIMIENTOS!$D$5:$D$53,#REF!,MOVIMIENTOS!$C$5:$C$53,"PERDIDA")</f>
        <v>0</v>
      </c>
      <c r="K10" s="27" t="str">
        <f t="shared" si="1"/>
        <v/>
      </c>
      <c r="L10" s="26" t="s">
        <v>96</v>
      </c>
    </row>
    <row r="11">
      <c r="A11" s="26" t="s">
        <v>107</v>
      </c>
      <c r="B11" s="26" t="s">
        <v>91</v>
      </c>
      <c r="C11" s="27" t="s">
        <v>92</v>
      </c>
      <c r="D11" s="26" t="s">
        <v>108</v>
      </c>
      <c r="E11" s="27" t="str">
        <f t="array" ref="E11">IFERROR(XLOOKUP(#REF!,PERSONAL!$B$5:$B$135,PERSONAL!$A$5:$A$135),"POR REGISTRAR")</f>
        <v>POR REGISTRAR</v>
      </c>
      <c r="F11" s="26" t="s">
        <v>94</v>
      </c>
      <c r="G11" s="26" t="s">
        <v>95</v>
      </c>
      <c r="H11" s="28" t="str">
        <f>IF(COUNTIFS(MOVIMIENTOS!$D$5:$D$53,#REF!)=0,"",MAXIFS(MOVIMIENTOS!$B$5:$B$53,MOVIMIENTOS!$D$5:$D$53,#REF!,MOVIMIENTOS!$C$5:$C$53,"&lt;&gt;DEVOLUCION"))</f>
        <v/>
      </c>
      <c r="I11" s="28" t="str">
        <f>IF(COUNTIFS(MOVIMIENTOS!$D$5:$D$53,#REF!,MOVIMIENTOS!$C$5:$C$53,"DEVOLUCION")=0,"",MAXIFS(MOVIMIENTOS!$B$5:$B$53,MOVIMIENTOS!$D$5:$D$53,#REF!,MOVIMIENTOS!$C$5:$C$53,"DEVOLUCION"))</f>
        <v/>
      </c>
      <c r="J11" s="27">
        <f>COUNTIFS(MOVIMIENTOS!$D$5:$D$53,#REF!,MOVIMIENTOS!$C$5:$C$53,"PERDIDA")</f>
        <v>0</v>
      </c>
      <c r="K11" s="27" t="str">
        <f t="shared" si="1"/>
        <v/>
      </c>
      <c r="L11" s="26" t="s">
        <v>96</v>
      </c>
    </row>
    <row r="12">
      <c r="A12" s="26" t="s">
        <v>109</v>
      </c>
      <c r="B12" s="26" t="s">
        <v>91</v>
      </c>
      <c r="C12" s="27" t="s">
        <v>92</v>
      </c>
      <c r="D12" s="26" t="s">
        <v>110</v>
      </c>
      <c r="E12" s="27" t="str">
        <f t="array" ref="E12">IFERROR(XLOOKUP(#REF!,PERSONAL!$B$5:$B$135,PERSONAL!$A$5:$A$135),"POR REGISTRAR")</f>
        <v>POR REGISTRAR</v>
      </c>
      <c r="F12" s="26" t="s">
        <v>94</v>
      </c>
      <c r="G12" s="26" t="s">
        <v>95</v>
      </c>
      <c r="H12" s="28" t="str">
        <f>IF(COUNTIFS(MOVIMIENTOS!$D$5:$D$53,#REF!)=0,"",MAXIFS(MOVIMIENTOS!$B$5:$B$53,MOVIMIENTOS!$D$5:$D$53,#REF!,MOVIMIENTOS!$C$5:$C$53,"&lt;&gt;DEVOLUCION"))</f>
        <v/>
      </c>
      <c r="I12" s="28" t="str">
        <f>IF(COUNTIFS(MOVIMIENTOS!$D$5:$D$53,#REF!,MOVIMIENTOS!$C$5:$C$53,"DEVOLUCION")=0,"",MAXIFS(MOVIMIENTOS!$B$5:$B$53,MOVIMIENTOS!$D$5:$D$53,#REF!,MOVIMIENTOS!$C$5:$C$53,"DEVOLUCION"))</f>
        <v/>
      </c>
      <c r="J12" s="27">
        <f>COUNTIFS(MOVIMIENTOS!$D$5:$D$53,#REF!,MOVIMIENTOS!$C$5:$C$53,"PERDIDA")</f>
        <v>0</v>
      </c>
      <c r="K12" s="27" t="str">
        <f t="shared" si="1"/>
        <v/>
      </c>
      <c r="L12" s="26" t="s">
        <v>96</v>
      </c>
    </row>
    <row r="13">
      <c r="A13" s="26" t="s">
        <v>111</v>
      </c>
      <c r="B13" s="26" t="s">
        <v>91</v>
      </c>
      <c r="C13" s="27" t="s">
        <v>92</v>
      </c>
      <c r="D13" s="26" t="s">
        <v>112</v>
      </c>
      <c r="E13" s="27" t="str">
        <f t="array" ref="E13">IFERROR(XLOOKUP(#REF!,PERSONAL!$B$5:$B$135,PERSONAL!$A$5:$A$135),"POR REGISTRAR")</f>
        <v>POR REGISTRAR</v>
      </c>
      <c r="F13" s="26" t="s">
        <v>94</v>
      </c>
      <c r="G13" s="26" t="s">
        <v>95</v>
      </c>
      <c r="H13" s="28" t="str">
        <f>IF(COUNTIFS(MOVIMIENTOS!$D$5:$D$53,#REF!)=0,"",MAXIFS(MOVIMIENTOS!$B$5:$B$53,MOVIMIENTOS!$D$5:$D$53,#REF!,MOVIMIENTOS!$C$5:$C$53,"&lt;&gt;DEVOLUCION"))</f>
        <v/>
      </c>
      <c r="I13" s="28" t="str">
        <f>IF(COUNTIFS(MOVIMIENTOS!$D$5:$D$53,#REF!,MOVIMIENTOS!$C$5:$C$53,"DEVOLUCION")=0,"",MAXIFS(MOVIMIENTOS!$B$5:$B$53,MOVIMIENTOS!$D$5:$D$53,#REF!,MOVIMIENTOS!$C$5:$C$53,"DEVOLUCION"))</f>
        <v/>
      </c>
      <c r="J13" s="27">
        <f>COUNTIFS(MOVIMIENTOS!$D$5:$D$53,#REF!,MOVIMIENTOS!$C$5:$C$53,"PERDIDA")</f>
        <v>0</v>
      </c>
      <c r="K13" s="27" t="str">
        <f t="shared" si="1"/>
        <v/>
      </c>
      <c r="L13" s="26" t="s">
        <v>96</v>
      </c>
    </row>
    <row r="14">
      <c r="A14" s="26" t="s">
        <v>113</v>
      </c>
      <c r="B14" s="26" t="s">
        <v>91</v>
      </c>
      <c r="C14" s="27" t="s">
        <v>92</v>
      </c>
      <c r="D14" s="26" t="s">
        <v>114</v>
      </c>
      <c r="E14" s="27" t="str">
        <f t="array" ref="E14">IFERROR(XLOOKUP(#REF!,PERSONAL!$B$5:$B$135,PERSONAL!$A$5:$A$135),"POR REGISTRAR")</f>
        <v>POR REGISTRAR</v>
      </c>
      <c r="F14" s="26" t="s">
        <v>115</v>
      </c>
      <c r="G14" s="26" t="s">
        <v>116</v>
      </c>
      <c r="H14" s="28" t="str">
        <f>IF(COUNTIFS(MOVIMIENTOS!$D$5:$D$53,#REF!)=0,"",MAXIFS(MOVIMIENTOS!$B$5:$B$53,MOVIMIENTOS!$D$5:$D$53,#REF!,MOVIMIENTOS!$C$5:$C$53,"&lt;&gt;DEVOLUCION"))</f>
        <v/>
      </c>
      <c r="I14" s="28" t="str">
        <f>IF(COUNTIFS(MOVIMIENTOS!$D$5:$D$53,#REF!,MOVIMIENTOS!$C$5:$C$53,"DEVOLUCION")=0,"",MAXIFS(MOVIMIENTOS!$B$5:$B$53,MOVIMIENTOS!$D$5:$D$53,#REF!,MOVIMIENTOS!$C$5:$C$53,"DEVOLUCION"))</f>
        <v/>
      </c>
      <c r="J14" s="27">
        <f>COUNTIFS(MOVIMIENTOS!$D$5:$D$53,#REF!,MOVIMIENTOS!$C$5:$C$53,"PERDIDA")</f>
        <v>0</v>
      </c>
      <c r="K14" s="27" t="str">
        <f t="shared" si="1"/>
        <v/>
      </c>
      <c r="L14" s="26" t="s">
        <v>96</v>
      </c>
    </row>
    <row r="15">
      <c r="A15" s="26" t="s">
        <v>117</v>
      </c>
      <c r="B15" s="26" t="s">
        <v>91</v>
      </c>
      <c r="C15" s="27" t="s">
        <v>104</v>
      </c>
      <c r="D15" s="26" t="s">
        <v>105</v>
      </c>
      <c r="E15" s="27" t="str">
        <f t="array" ref="E15">IFERROR(XLOOKUP(#REF!,PERSONAL!$B$5:$B$135,PERSONAL!$A$5:$A$135),"POR REGISTRAR")</f>
        <v>POR REGISTRAR</v>
      </c>
      <c r="F15" s="26" t="s">
        <v>94</v>
      </c>
      <c r="G15" s="26" t="s">
        <v>95</v>
      </c>
      <c r="H15" s="28" t="str">
        <f>IF(COUNTIFS(MOVIMIENTOS!$D$5:$D$53,#REF!)=0,"",MAXIFS(MOVIMIENTOS!$B$5:$B$53,MOVIMIENTOS!$D$5:$D$53,#REF!,MOVIMIENTOS!$C$5:$C$53,"&lt;&gt;DEVOLUCION"))</f>
        <v/>
      </c>
      <c r="I15" s="28" t="str">
        <f>IF(COUNTIFS(MOVIMIENTOS!$D$5:$D$53,#REF!,MOVIMIENTOS!$C$5:$C$53,"DEVOLUCION")=0,"",MAXIFS(MOVIMIENTOS!$B$5:$B$53,MOVIMIENTOS!$D$5:$D$53,#REF!,MOVIMIENTOS!$C$5:$C$53,"DEVOLUCION"))</f>
        <v/>
      </c>
      <c r="J15" s="27">
        <f>COUNTIFS(MOVIMIENTOS!$D$5:$D$53,#REF!,MOVIMIENTOS!$C$5:$C$53,"PERDIDA")</f>
        <v>0</v>
      </c>
      <c r="K15" s="27" t="str">
        <f t="shared" si="1"/>
        <v/>
      </c>
      <c r="L15" s="26" t="s">
        <v>96</v>
      </c>
    </row>
    <row r="16">
      <c r="A16" s="26" t="s">
        <v>118</v>
      </c>
      <c r="B16" s="26" t="s">
        <v>91</v>
      </c>
      <c r="C16" s="27" t="s">
        <v>92</v>
      </c>
      <c r="D16" s="26" t="s">
        <v>119</v>
      </c>
      <c r="E16" s="27" t="str">
        <f t="array" ref="E16">IFERROR(XLOOKUP(#REF!,PERSONAL!$B$5:$B$135,PERSONAL!$A$5:$A$135),"POR REGISTRAR")</f>
        <v>POR REGISTRAR</v>
      </c>
      <c r="F16" s="26" t="s">
        <v>94</v>
      </c>
      <c r="G16" s="26" t="s">
        <v>95</v>
      </c>
      <c r="H16" s="28" t="str">
        <f>IF(COUNTIFS(MOVIMIENTOS!$D$5:$D$53,#REF!)=0,"",MAXIFS(MOVIMIENTOS!$B$5:$B$53,MOVIMIENTOS!$D$5:$D$53,#REF!,MOVIMIENTOS!$C$5:$C$53,"&lt;&gt;DEVOLUCION"))</f>
        <v/>
      </c>
      <c r="I16" s="28" t="str">
        <f>IF(COUNTIFS(MOVIMIENTOS!$D$5:$D$53,#REF!,MOVIMIENTOS!$C$5:$C$53,"DEVOLUCION")=0,"",MAXIFS(MOVIMIENTOS!$B$5:$B$53,MOVIMIENTOS!$D$5:$D$53,#REF!,MOVIMIENTOS!$C$5:$C$53,"DEVOLUCION"))</f>
        <v/>
      </c>
      <c r="J16" s="27">
        <f>COUNTIFS(MOVIMIENTOS!$D$5:$D$53,#REF!,MOVIMIENTOS!$C$5:$C$53,"PERDIDA")</f>
        <v>0</v>
      </c>
      <c r="K16" s="27" t="str">
        <f t="shared" si="1"/>
        <v/>
      </c>
      <c r="L16" s="26" t="s">
        <v>96</v>
      </c>
    </row>
    <row r="17">
      <c r="A17" s="26" t="s">
        <v>120</v>
      </c>
      <c r="B17" s="26" t="s">
        <v>91</v>
      </c>
      <c r="C17" s="27" t="s">
        <v>92</v>
      </c>
      <c r="D17" s="29" t="s">
        <v>121</v>
      </c>
      <c r="E17" s="27" t="str">
        <f t="array" ref="E17">IFERROR(XLOOKUP(#REF!,PERSONAL!$B$5:$B$135,PERSONAL!$A$5:$A$135),"POR REGISTRAR")</f>
        <v>POR REGISTRAR</v>
      </c>
      <c r="F17" s="26" t="s">
        <v>122</v>
      </c>
      <c r="G17" s="26" t="s">
        <v>123</v>
      </c>
      <c r="H17" s="28" t="str">
        <f>IF(COUNTIFS(MOVIMIENTOS!$D$5:$D$53,#REF!)=0,"",MAXIFS(MOVIMIENTOS!$B$5:$B$53,MOVIMIENTOS!$D$5:$D$53,#REF!,MOVIMIENTOS!$C$5:$C$53,"&lt;&gt;DEVOLUCION"))</f>
        <v/>
      </c>
      <c r="I17" s="28" t="str">
        <f>IF(COUNTIFS(MOVIMIENTOS!$D$5:$D$53,#REF!,MOVIMIENTOS!$C$5:$C$53,"DEVOLUCION")=0,"",MAXIFS(MOVIMIENTOS!$B$5:$B$53,MOVIMIENTOS!$D$5:$D$53,#REF!,MOVIMIENTOS!$C$5:$C$53,"DEVOLUCION"))</f>
        <v/>
      </c>
      <c r="J17" s="27">
        <f>COUNTIFS(MOVIMIENTOS!$D$5:$D$53,#REF!,MOVIMIENTOS!$C$5:$C$53,"PERDIDA")</f>
        <v>0</v>
      </c>
      <c r="K17" s="27" t="str">
        <f t="shared" si="1"/>
        <v/>
      </c>
      <c r="L17" s="26"/>
    </row>
    <row r="18">
      <c r="A18" s="26" t="s">
        <v>124</v>
      </c>
      <c r="B18" s="26" t="s">
        <v>91</v>
      </c>
      <c r="C18" s="27" t="s">
        <v>92</v>
      </c>
      <c r="D18" s="29" t="s">
        <v>125</v>
      </c>
      <c r="E18" s="27" t="str">
        <f t="array" ref="E18">IFERROR(XLOOKUP(#REF!,PERSONAL!$B$5:$B$135,PERSONAL!$A$5:$A$135),"POR REGISTRAR")</f>
        <v>POR REGISTRAR</v>
      </c>
      <c r="F18" s="26" t="s">
        <v>122</v>
      </c>
      <c r="G18" s="26" t="s">
        <v>123</v>
      </c>
      <c r="H18" s="28" t="str">
        <f>IF(COUNTIFS(MOVIMIENTOS!$D$5:$D$53,#REF!)=0,"",MAXIFS(MOVIMIENTOS!$B$5:$B$53,MOVIMIENTOS!$D$5:$D$53,#REF!,MOVIMIENTOS!$C$5:$C$53,"&lt;&gt;DEVOLUCION"))</f>
        <v/>
      </c>
      <c r="I18" s="28" t="str">
        <f>IF(COUNTIFS(MOVIMIENTOS!$D$5:$D$53,#REF!,MOVIMIENTOS!$C$5:$C$53,"DEVOLUCION")=0,"",MAXIFS(MOVIMIENTOS!$B$5:$B$53,MOVIMIENTOS!$D$5:$D$53,#REF!,MOVIMIENTOS!$C$5:$C$53,"DEVOLUCION"))</f>
        <v/>
      </c>
      <c r="J18" s="27">
        <f>COUNTIFS(MOVIMIENTOS!$D$5:$D$53,#REF!,MOVIMIENTOS!$C$5:$C$53,"PERDIDA")</f>
        <v>0</v>
      </c>
      <c r="K18" s="27" t="str">
        <f t="shared" si="1"/>
        <v/>
      </c>
      <c r="L18" s="26" t="s">
        <v>96</v>
      </c>
    </row>
    <row r="19">
      <c r="A19" s="26" t="s">
        <v>126</v>
      </c>
      <c r="B19" s="26" t="s">
        <v>91</v>
      </c>
      <c r="C19" s="27" t="s">
        <v>92</v>
      </c>
      <c r="D19" s="26" t="s">
        <v>127</v>
      </c>
      <c r="E19" s="27" t="str">
        <f t="array" ref="E19">IFERROR(XLOOKUP(#REF!,PERSONAL!$B$5:$B$135,PERSONAL!$A$5:$A$135),"POR REGISTRAR")</f>
        <v>POR REGISTRAR</v>
      </c>
      <c r="F19" s="26" t="s">
        <v>128</v>
      </c>
      <c r="G19" s="26" t="s">
        <v>123</v>
      </c>
      <c r="H19" s="28" t="str">
        <f>IF(COUNTIFS(MOVIMIENTOS!$D$5:$D$53,#REF!)=0,"",MAXIFS(MOVIMIENTOS!$B$5:$B$53,MOVIMIENTOS!$D$5:$D$53,#REF!,MOVIMIENTOS!$C$5:$C$53,"&lt;&gt;DEVOLUCION"))</f>
        <v/>
      </c>
      <c r="I19" s="28" t="str">
        <f>IF(COUNTIFS(MOVIMIENTOS!$D$5:$D$53,#REF!,MOVIMIENTOS!$C$5:$C$53,"DEVOLUCION")=0,"",MAXIFS(MOVIMIENTOS!$B$5:$B$53,MOVIMIENTOS!$D$5:$D$53,#REF!,MOVIMIENTOS!$C$5:$C$53,"DEVOLUCION"))</f>
        <v/>
      </c>
      <c r="J19" s="27">
        <f>COUNTIFS(MOVIMIENTOS!$D$5:$D$53,#REF!,MOVIMIENTOS!$C$5:$C$53,"PERDIDA")</f>
        <v>0</v>
      </c>
      <c r="K19" s="27" t="str">
        <f t="shared" si="1"/>
        <v/>
      </c>
      <c r="L19" s="26" t="s">
        <v>96</v>
      </c>
    </row>
    <row r="20">
      <c r="A20" s="26" t="s">
        <v>129</v>
      </c>
      <c r="B20" s="26" t="s">
        <v>91</v>
      </c>
      <c r="C20" s="27" t="s">
        <v>92</v>
      </c>
      <c r="D20" s="26" t="s">
        <v>130</v>
      </c>
      <c r="E20" s="27" t="str">
        <f t="array" ref="E20">IFERROR(XLOOKUP(#REF!,PERSONAL!$B$5:$B$135,PERSONAL!$A$5:$A$135),"POR REGISTRAR")</f>
        <v>POR REGISTRAR</v>
      </c>
      <c r="F20" s="26" t="s">
        <v>128</v>
      </c>
      <c r="G20" s="26" t="s">
        <v>123</v>
      </c>
      <c r="H20" s="28" t="str">
        <f>IF(COUNTIFS(MOVIMIENTOS!$D$5:$D$53,#REF!)=0,"",MAXIFS(MOVIMIENTOS!$B$5:$B$53,MOVIMIENTOS!$D$5:$D$53,#REF!,MOVIMIENTOS!$C$5:$C$53,"&lt;&gt;DEVOLUCION"))</f>
        <v/>
      </c>
      <c r="I20" s="28" t="str">
        <f>IF(COUNTIFS(MOVIMIENTOS!$D$5:$D$53,#REF!,MOVIMIENTOS!$C$5:$C$53,"DEVOLUCION")=0,"",MAXIFS(MOVIMIENTOS!$B$5:$B$53,MOVIMIENTOS!$D$5:$D$53,#REF!,MOVIMIENTOS!$C$5:$C$53,"DEVOLUCION"))</f>
        <v/>
      </c>
      <c r="J20" s="27">
        <f>COUNTIFS(MOVIMIENTOS!$D$5:$D$53,#REF!,MOVIMIENTOS!$C$5:$C$53,"PERDIDA")</f>
        <v>0</v>
      </c>
      <c r="K20" s="27" t="str">
        <f t="shared" si="1"/>
        <v/>
      </c>
      <c r="L20" s="26" t="s">
        <v>96</v>
      </c>
    </row>
    <row r="21" ht="15.75" customHeight="1">
      <c r="A21" s="26" t="s">
        <v>131</v>
      </c>
      <c r="B21" s="26" t="s">
        <v>91</v>
      </c>
      <c r="C21" s="27" t="s">
        <v>92</v>
      </c>
      <c r="D21" s="26" t="s">
        <v>132</v>
      </c>
      <c r="E21" s="27" t="str">
        <f t="array" ref="E21">IFERROR(XLOOKUP(#REF!,PERSONAL!$B$5:$B$135,PERSONAL!$A$5:$A$135),"POR REGISTRAR")</f>
        <v>POR REGISTRAR</v>
      </c>
      <c r="F21" s="26" t="s">
        <v>133</v>
      </c>
      <c r="G21" s="26" t="s">
        <v>123</v>
      </c>
      <c r="H21" s="28" t="str">
        <f>IF(COUNTIFS(MOVIMIENTOS!$D$5:$D$53,#REF!)=0,"",MAXIFS(MOVIMIENTOS!$B$5:$B$53,MOVIMIENTOS!$D$5:$D$53,#REF!,MOVIMIENTOS!$C$5:$C$53,"&lt;&gt;DEVOLUCION"))</f>
        <v/>
      </c>
      <c r="I21" s="28" t="str">
        <f>IF(COUNTIFS(MOVIMIENTOS!$D$5:$D$53,#REF!,MOVIMIENTOS!$C$5:$C$53,"DEVOLUCION")=0,"",MAXIFS(MOVIMIENTOS!$B$5:$B$53,MOVIMIENTOS!$D$5:$D$53,#REF!,MOVIMIENTOS!$C$5:$C$53,"DEVOLUCION"))</f>
        <v/>
      </c>
      <c r="J21" s="27">
        <f>COUNTIFS(MOVIMIENTOS!$D$5:$D$53,#REF!,MOVIMIENTOS!$C$5:$C$53,"PERDIDA")</f>
        <v>0</v>
      </c>
      <c r="K21" s="27" t="str">
        <f t="shared" si="1"/>
        <v/>
      </c>
      <c r="L21" s="26" t="s">
        <v>96</v>
      </c>
    </row>
    <row r="22" ht="15.75" customHeight="1">
      <c r="A22" s="26" t="s">
        <v>134</v>
      </c>
      <c r="B22" s="26" t="s">
        <v>91</v>
      </c>
      <c r="C22" s="27" t="s">
        <v>92</v>
      </c>
      <c r="D22" s="26" t="s">
        <v>135</v>
      </c>
      <c r="E22" s="27" t="str">
        <f t="array" ref="E22">IFERROR(XLOOKUP(#REF!,PERSONAL!$B$5:$B$135,PERSONAL!$A$5:$A$135),"POR REGISTRAR")</f>
        <v>POR REGISTRAR</v>
      </c>
      <c r="F22" s="26" t="s">
        <v>135</v>
      </c>
      <c r="G22" s="26" t="s">
        <v>136</v>
      </c>
      <c r="H22" s="28" t="str">
        <f>IF(COUNTIFS(MOVIMIENTOS!$D$5:$D$53,#REF!)=0,"",MAXIFS(MOVIMIENTOS!$B$5:$B$53,MOVIMIENTOS!$D$5:$D$53,#REF!,MOVIMIENTOS!$C$5:$C$53,"&lt;&gt;DEVOLUCION"))</f>
        <v/>
      </c>
      <c r="I22" s="28" t="str">
        <f>IF(COUNTIFS(MOVIMIENTOS!$D$5:$D$53,#REF!,MOVIMIENTOS!$C$5:$C$53,"DEVOLUCION")=0,"",MAXIFS(MOVIMIENTOS!$B$5:$B$53,MOVIMIENTOS!$D$5:$D$53,#REF!,MOVIMIENTOS!$C$5:$C$53,"DEVOLUCION"))</f>
        <v/>
      </c>
      <c r="J22" s="27">
        <f>COUNTIFS(MOVIMIENTOS!$D$5:$D$53,#REF!,MOVIMIENTOS!$C$5:$C$53,"PERDIDA")</f>
        <v>0</v>
      </c>
      <c r="K22" s="27" t="str">
        <f t="shared" si="1"/>
        <v/>
      </c>
      <c r="L22" s="26" t="s">
        <v>96</v>
      </c>
    </row>
    <row r="23" ht="15.75" customHeight="1">
      <c r="A23" s="26" t="s">
        <v>137</v>
      </c>
      <c r="B23" s="26" t="s">
        <v>91</v>
      </c>
      <c r="C23" s="27" t="s">
        <v>92</v>
      </c>
      <c r="D23" s="26" t="s">
        <v>138</v>
      </c>
      <c r="E23" s="27" t="str">
        <f t="array" ref="E23">IFERROR(XLOOKUP(#REF!,PERSONAL!$B$5:$B$135,PERSONAL!$A$5:$A$135),"POR REGISTRAR")</f>
        <v>POR REGISTRAR</v>
      </c>
      <c r="F23" s="26" t="s">
        <v>135</v>
      </c>
      <c r="G23" s="26" t="s">
        <v>136</v>
      </c>
      <c r="H23" s="28" t="str">
        <f>IF(COUNTIFS(MOVIMIENTOS!$D$5:$D$53,#REF!)=0,"",MAXIFS(MOVIMIENTOS!$B$5:$B$53,MOVIMIENTOS!$D$5:$D$53,#REF!,MOVIMIENTOS!$C$5:$C$53,"&lt;&gt;DEVOLUCION"))</f>
        <v/>
      </c>
      <c r="I23" s="28" t="str">
        <f>IF(COUNTIFS(MOVIMIENTOS!$D$5:$D$53,#REF!,MOVIMIENTOS!$C$5:$C$53,"DEVOLUCION")=0,"",MAXIFS(MOVIMIENTOS!$B$5:$B$53,MOVIMIENTOS!$D$5:$D$53,#REF!,MOVIMIENTOS!$C$5:$C$53,"DEVOLUCION"))</f>
        <v/>
      </c>
      <c r="J23" s="27">
        <f>COUNTIFS(MOVIMIENTOS!$D$5:$D$53,#REF!,MOVIMIENTOS!$C$5:$C$53,"PERDIDA")</f>
        <v>0</v>
      </c>
      <c r="K23" s="27" t="str">
        <f t="shared" si="1"/>
        <v/>
      </c>
      <c r="L23" s="26" t="s">
        <v>96</v>
      </c>
    </row>
    <row r="24" ht="15.75" customHeight="1">
      <c r="A24" s="26" t="s">
        <v>139</v>
      </c>
      <c r="B24" s="26" t="s">
        <v>91</v>
      </c>
      <c r="C24" s="27" t="s">
        <v>92</v>
      </c>
      <c r="D24" s="26" t="s">
        <v>140</v>
      </c>
      <c r="E24" s="27" t="str">
        <f t="array" ref="E24">IFERROR(XLOOKUP(#REF!,PERSONAL!$B$5:$B$135,PERSONAL!$A$5:$A$135),"POR REGISTRAR")</f>
        <v>POR REGISTRAR</v>
      </c>
      <c r="F24" s="26" t="s">
        <v>135</v>
      </c>
      <c r="G24" s="26" t="s">
        <v>136</v>
      </c>
      <c r="H24" s="28" t="str">
        <f>IF(COUNTIFS(MOVIMIENTOS!$D$5:$D$53,#REF!)=0,"",MAXIFS(MOVIMIENTOS!$B$5:$B$53,MOVIMIENTOS!$D$5:$D$53,#REF!,MOVIMIENTOS!$C$5:$C$53,"&lt;&gt;DEVOLUCION"))</f>
        <v/>
      </c>
      <c r="I24" s="28" t="str">
        <f>IF(COUNTIFS(MOVIMIENTOS!$D$5:$D$53,#REF!,MOVIMIENTOS!$C$5:$C$53,"DEVOLUCION")=0,"",MAXIFS(MOVIMIENTOS!$B$5:$B$53,MOVIMIENTOS!$D$5:$D$53,#REF!,MOVIMIENTOS!$C$5:$C$53,"DEVOLUCION"))</f>
        <v/>
      </c>
      <c r="J24" s="27">
        <f>COUNTIFS(MOVIMIENTOS!$D$5:$D$53,#REF!,MOVIMIENTOS!$C$5:$C$53,"PERDIDA")</f>
        <v>0</v>
      </c>
      <c r="K24" s="27" t="str">
        <f t="shared" si="1"/>
        <v/>
      </c>
      <c r="L24" s="26" t="s">
        <v>96</v>
      </c>
    </row>
    <row r="25" ht="15.75" customHeight="1">
      <c r="A25" s="26" t="s">
        <v>141</v>
      </c>
      <c r="B25" s="26" t="s">
        <v>91</v>
      </c>
      <c r="C25" s="27" t="s">
        <v>92</v>
      </c>
      <c r="D25" s="26" t="s">
        <v>142</v>
      </c>
      <c r="E25" s="27" t="str">
        <f t="array" ref="E25">IFERROR(XLOOKUP(#REF!,PERSONAL!$B$5:$B$135,PERSONAL!$A$5:$A$135),"POR REGISTRAR")</f>
        <v>POR REGISTRAR</v>
      </c>
      <c r="F25" s="26" t="s">
        <v>135</v>
      </c>
      <c r="G25" s="26" t="s">
        <v>136</v>
      </c>
      <c r="H25" s="28" t="str">
        <f>IF(COUNTIFS(MOVIMIENTOS!$D$5:$D$53,#REF!)=0,"",MAXIFS(MOVIMIENTOS!$B$5:$B$53,MOVIMIENTOS!$D$5:$D$53,#REF!,MOVIMIENTOS!$C$5:$C$53,"&lt;&gt;DEVOLUCION"))</f>
        <v/>
      </c>
      <c r="I25" s="28" t="str">
        <f>IF(COUNTIFS(MOVIMIENTOS!$D$5:$D$53,#REF!,MOVIMIENTOS!$C$5:$C$53,"DEVOLUCION")=0,"",MAXIFS(MOVIMIENTOS!$B$5:$B$53,MOVIMIENTOS!$D$5:$D$53,#REF!,MOVIMIENTOS!$C$5:$C$53,"DEVOLUCION"))</f>
        <v/>
      </c>
      <c r="J25" s="27">
        <f>COUNTIFS(MOVIMIENTOS!$D$5:$D$53,#REF!,MOVIMIENTOS!$C$5:$C$53,"PERDIDA")</f>
        <v>0</v>
      </c>
      <c r="K25" s="27" t="str">
        <f t="shared" si="1"/>
        <v/>
      </c>
      <c r="L25" s="26" t="s">
        <v>96</v>
      </c>
    </row>
    <row r="26" ht="15.75" customHeight="1">
      <c r="A26" s="26" t="s">
        <v>143</v>
      </c>
      <c r="B26" s="26" t="s">
        <v>91</v>
      </c>
      <c r="C26" s="27" t="s">
        <v>92</v>
      </c>
      <c r="D26" s="26" t="s">
        <v>144</v>
      </c>
      <c r="E26" s="27" t="str">
        <f t="array" ref="E26">IFERROR(XLOOKUP(#REF!,PERSONAL!$B$5:$B$135,PERSONAL!$A$5:$A$135),"POR REGISTRAR")</f>
        <v>POR REGISTRAR</v>
      </c>
      <c r="F26" s="26" t="s">
        <v>135</v>
      </c>
      <c r="G26" s="26" t="s">
        <v>136</v>
      </c>
      <c r="H26" s="28" t="str">
        <f>IF(COUNTIFS(MOVIMIENTOS!$D$5:$D$53,#REF!)=0,"",MAXIFS(MOVIMIENTOS!$B$5:$B$53,MOVIMIENTOS!$D$5:$D$53,#REF!,MOVIMIENTOS!$C$5:$C$53,"&lt;&gt;DEVOLUCION"))</f>
        <v/>
      </c>
      <c r="I26" s="28" t="str">
        <f>IF(COUNTIFS(MOVIMIENTOS!$D$5:$D$53,#REF!,MOVIMIENTOS!$C$5:$C$53,"DEVOLUCION")=0,"",MAXIFS(MOVIMIENTOS!$B$5:$B$53,MOVIMIENTOS!$D$5:$D$53,#REF!,MOVIMIENTOS!$C$5:$C$53,"DEVOLUCION"))</f>
        <v/>
      </c>
      <c r="J26" s="27">
        <f>COUNTIFS(MOVIMIENTOS!$D$5:$D$53,#REF!,MOVIMIENTOS!$C$5:$C$53,"PERDIDA")</f>
        <v>0</v>
      </c>
      <c r="K26" s="27" t="str">
        <f t="shared" si="1"/>
        <v/>
      </c>
      <c r="L26" s="26" t="s">
        <v>96</v>
      </c>
    </row>
    <row r="27" ht="15.75" customHeight="1">
      <c r="A27" s="26" t="s">
        <v>145</v>
      </c>
      <c r="B27" s="26" t="s">
        <v>91</v>
      </c>
      <c r="C27" s="27" t="s">
        <v>92</v>
      </c>
      <c r="D27" s="26" t="s">
        <v>146</v>
      </c>
      <c r="E27" s="27" t="str">
        <f t="array" ref="E27">IFERROR(XLOOKUP(#REF!,PERSONAL!$B$5:$B$135,PERSONAL!$A$5:$A$135),"POR REGISTRAR")</f>
        <v>POR REGISTRAR</v>
      </c>
      <c r="F27" s="26" t="s">
        <v>135</v>
      </c>
      <c r="G27" s="26" t="s">
        <v>136</v>
      </c>
      <c r="H27" s="28" t="str">
        <f>IF(COUNTIFS(MOVIMIENTOS!$D$5:$D$53,#REF!)=0,"",MAXIFS(MOVIMIENTOS!$B$5:$B$53,MOVIMIENTOS!$D$5:$D$53,#REF!,MOVIMIENTOS!$C$5:$C$53,"&lt;&gt;DEVOLUCION"))</f>
        <v/>
      </c>
      <c r="I27" s="28" t="str">
        <f>IF(COUNTIFS(MOVIMIENTOS!$D$5:$D$53,#REF!,MOVIMIENTOS!$C$5:$C$53,"DEVOLUCION")=0,"",MAXIFS(MOVIMIENTOS!$B$5:$B$53,MOVIMIENTOS!$D$5:$D$53,#REF!,MOVIMIENTOS!$C$5:$C$53,"DEVOLUCION"))</f>
        <v/>
      </c>
      <c r="J27" s="27">
        <f>COUNTIFS(MOVIMIENTOS!$D$5:$D$53,#REF!,MOVIMIENTOS!$C$5:$C$53,"PERDIDA")</f>
        <v>0</v>
      </c>
      <c r="K27" s="27" t="str">
        <f t="shared" si="1"/>
        <v/>
      </c>
      <c r="L27" s="26" t="s">
        <v>96</v>
      </c>
    </row>
    <row r="28" ht="15.75" customHeight="1">
      <c r="A28" s="26" t="s">
        <v>147</v>
      </c>
      <c r="B28" s="26" t="s">
        <v>91</v>
      </c>
      <c r="C28" s="27" t="s">
        <v>92</v>
      </c>
      <c r="D28" s="26" t="s">
        <v>148</v>
      </c>
      <c r="E28" s="27" t="str">
        <f t="array" ref="E28">IFERROR(XLOOKUP(#REF!,PERSONAL!$B$5:$B$135,PERSONAL!$A$5:$A$135),"POR REGISTRAR")</f>
        <v>POR REGISTRAR</v>
      </c>
      <c r="F28" s="26" t="s">
        <v>135</v>
      </c>
      <c r="G28" s="26" t="s">
        <v>136</v>
      </c>
      <c r="H28" s="28" t="str">
        <f>IF(COUNTIFS(MOVIMIENTOS!$D$5:$D$53,#REF!)=0,"",MAXIFS(MOVIMIENTOS!$B$5:$B$53,MOVIMIENTOS!$D$5:$D$53,#REF!,MOVIMIENTOS!$C$5:$C$53,"&lt;&gt;DEVOLUCION"))</f>
        <v/>
      </c>
      <c r="I28" s="28" t="str">
        <f>IF(COUNTIFS(MOVIMIENTOS!$D$5:$D$53,#REF!,MOVIMIENTOS!$C$5:$C$53,"DEVOLUCION")=0,"",MAXIFS(MOVIMIENTOS!$B$5:$B$53,MOVIMIENTOS!$D$5:$D$53,#REF!,MOVIMIENTOS!$C$5:$C$53,"DEVOLUCION"))</f>
        <v/>
      </c>
      <c r="J28" s="27">
        <f>COUNTIFS(MOVIMIENTOS!$D$5:$D$53,#REF!,MOVIMIENTOS!$C$5:$C$53,"PERDIDA")</f>
        <v>0</v>
      </c>
      <c r="K28" s="27" t="str">
        <f t="shared" si="1"/>
        <v/>
      </c>
      <c r="L28" s="26" t="s">
        <v>96</v>
      </c>
    </row>
    <row r="29" ht="15.75" customHeight="1">
      <c r="A29" s="26" t="s">
        <v>149</v>
      </c>
      <c r="B29" s="26" t="s">
        <v>91</v>
      </c>
      <c r="C29" s="27" t="s">
        <v>92</v>
      </c>
      <c r="D29" s="26" t="s">
        <v>150</v>
      </c>
      <c r="E29" s="27" t="str">
        <f t="array" ref="E29">IFERROR(XLOOKUP(#REF!,PERSONAL!$B$5:$B$135,PERSONAL!$A$5:$A$135),"POR REGISTRAR")</f>
        <v>POR REGISTRAR</v>
      </c>
      <c r="F29" s="26" t="s">
        <v>133</v>
      </c>
      <c r="G29" s="26" t="s">
        <v>123</v>
      </c>
      <c r="H29" s="28" t="str">
        <f>IF(COUNTIFS(MOVIMIENTOS!$D$5:$D$53,#REF!)=0,"",MAXIFS(MOVIMIENTOS!$B$5:$B$53,MOVIMIENTOS!$D$5:$D$53,#REF!,MOVIMIENTOS!$C$5:$C$53,"&lt;&gt;DEVOLUCION"))</f>
        <v/>
      </c>
      <c r="I29" s="28" t="str">
        <f>IF(COUNTIFS(MOVIMIENTOS!$D$5:$D$53,#REF!,MOVIMIENTOS!$C$5:$C$53,"DEVOLUCION")=0,"",MAXIFS(MOVIMIENTOS!$B$5:$B$53,MOVIMIENTOS!$D$5:$D$53,#REF!,MOVIMIENTOS!$C$5:$C$53,"DEVOLUCION"))</f>
        <v/>
      </c>
      <c r="J29" s="27">
        <f>COUNTIFS(MOVIMIENTOS!$D$5:$D$53,#REF!,MOVIMIENTOS!$C$5:$C$53,"PERDIDA")</f>
        <v>0</v>
      </c>
      <c r="K29" s="27" t="str">
        <f t="shared" si="1"/>
        <v/>
      </c>
      <c r="L29" s="26" t="s">
        <v>96</v>
      </c>
    </row>
    <row r="30" ht="15.75" customHeight="1">
      <c r="A30" s="26" t="s">
        <v>151</v>
      </c>
      <c r="B30" s="26" t="s">
        <v>91</v>
      </c>
      <c r="C30" s="27" t="s">
        <v>92</v>
      </c>
      <c r="D30" s="26" t="s">
        <v>152</v>
      </c>
      <c r="E30" s="27" t="str">
        <f t="array" ref="E30">IFERROR(XLOOKUP(#REF!,PERSONAL!$B$5:$B$135,PERSONAL!$A$5:$A$135),"POR REGISTRAR")</f>
        <v>POR REGISTRAR</v>
      </c>
      <c r="F30" s="26" t="s">
        <v>153</v>
      </c>
      <c r="G30" s="26" t="s">
        <v>123</v>
      </c>
      <c r="H30" s="28" t="str">
        <f>IF(COUNTIFS(MOVIMIENTOS!$D$5:$D$53,#REF!)=0,"",MAXIFS(MOVIMIENTOS!$B$5:$B$53,MOVIMIENTOS!$D$5:$D$53,#REF!,MOVIMIENTOS!$C$5:$C$53,"&lt;&gt;DEVOLUCION"))</f>
        <v/>
      </c>
      <c r="I30" s="28" t="str">
        <f>IF(COUNTIFS(MOVIMIENTOS!$D$5:$D$53,#REF!,MOVIMIENTOS!$C$5:$C$53,"DEVOLUCION")=0,"",MAXIFS(MOVIMIENTOS!$B$5:$B$53,MOVIMIENTOS!$D$5:$D$53,#REF!,MOVIMIENTOS!$C$5:$C$53,"DEVOLUCION"))</f>
        <v/>
      </c>
      <c r="J30" s="27">
        <f>COUNTIFS(MOVIMIENTOS!$D$5:$D$53,#REF!,MOVIMIENTOS!$C$5:$C$53,"PERDIDA")</f>
        <v>0</v>
      </c>
      <c r="K30" s="27" t="str">
        <f t="shared" si="1"/>
        <v/>
      </c>
      <c r="L30" s="26" t="s">
        <v>96</v>
      </c>
    </row>
    <row r="31" ht="15.75" customHeight="1">
      <c r="A31" s="26" t="s">
        <v>154</v>
      </c>
      <c r="B31" s="26" t="s">
        <v>91</v>
      </c>
      <c r="C31" s="27" t="s">
        <v>92</v>
      </c>
      <c r="D31" s="26" t="s">
        <v>155</v>
      </c>
      <c r="E31" s="27" t="str">
        <f t="array" ref="E31">IFERROR(XLOOKUP(#REF!,PERSONAL!$B$5:$B$135,PERSONAL!$A$5:$A$135),"POR REGISTRAR")</f>
        <v>POR REGISTRAR</v>
      </c>
      <c r="F31" s="26" t="s">
        <v>128</v>
      </c>
      <c r="G31" s="26" t="s">
        <v>123</v>
      </c>
      <c r="H31" s="28" t="str">
        <f>IF(COUNTIFS(MOVIMIENTOS!$D$5:$D$53,#REF!)=0,"",MAXIFS(MOVIMIENTOS!$B$5:$B$53,MOVIMIENTOS!$D$5:$D$53,#REF!,MOVIMIENTOS!$C$5:$C$53,"&lt;&gt;DEVOLUCION"))</f>
        <v/>
      </c>
      <c r="I31" s="28" t="str">
        <f>IF(COUNTIFS(MOVIMIENTOS!$D$5:$D$53,#REF!,MOVIMIENTOS!$C$5:$C$53,"DEVOLUCION")=0,"",MAXIFS(MOVIMIENTOS!$B$5:$B$53,MOVIMIENTOS!$D$5:$D$53,#REF!,MOVIMIENTOS!$C$5:$C$53,"DEVOLUCION"))</f>
        <v/>
      </c>
      <c r="J31" s="27">
        <f>COUNTIFS(MOVIMIENTOS!$D$5:$D$53,#REF!,MOVIMIENTOS!$C$5:$C$53,"PERDIDA")</f>
        <v>0</v>
      </c>
      <c r="K31" s="27" t="str">
        <f t="shared" si="1"/>
        <v/>
      </c>
      <c r="L31" s="26" t="s">
        <v>96</v>
      </c>
    </row>
    <row r="32" ht="15.75" customHeight="1">
      <c r="A32" s="26" t="s">
        <v>156</v>
      </c>
      <c r="B32" s="26" t="s">
        <v>91</v>
      </c>
      <c r="C32" s="27" t="s">
        <v>92</v>
      </c>
      <c r="D32" s="26" t="s">
        <v>157</v>
      </c>
      <c r="E32" s="27" t="str">
        <f t="array" ref="E32">IFERROR(XLOOKUP(#REF!,PERSONAL!$B$5:$B$135,PERSONAL!$A$5:$A$135),"POR REGISTRAR")</f>
        <v>POR REGISTRAR</v>
      </c>
      <c r="F32" s="26" t="s">
        <v>115</v>
      </c>
      <c r="G32" s="26" t="s">
        <v>116</v>
      </c>
      <c r="H32" s="28" t="str">
        <f>IF(COUNTIFS(MOVIMIENTOS!$D$5:$D$53,#REF!)=0,"",MAXIFS(MOVIMIENTOS!$B$5:$B$53,MOVIMIENTOS!$D$5:$D$53,#REF!,MOVIMIENTOS!$C$5:$C$53,"&lt;&gt;DEVOLUCION"))</f>
        <v/>
      </c>
      <c r="I32" s="28" t="str">
        <f>IF(COUNTIFS(MOVIMIENTOS!$D$5:$D$53,#REF!,MOVIMIENTOS!$C$5:$C$53,"DEVOLUCION")=0,"",MAXIFS(MOVIMIENTOS!$B$5:$B$53,MOVIMIENTOS!$D$5:$D$53,#REF!,MOVIMIENTOS!$C$5:$C$53,"DEVOLUCION"))</f>
        <v/>
      </c>
      <c r="J32" s="27">
        <f>COUNTIFS(MOVIMIENTOS!$D$5:$D$53,#REF!,MOVIMIENTOS!$C$5:$C$53,"PERDIDA")</f>
        <v>0</v>
      </c>
      <c r="K32" s="27" t="str">
        <f t="shared" si="1"/>
        <v/>
      </c>
      <c r="L32" s="26" t="s">
        <v>96</v>
      </c>
    </row>
    <row r="33" ht="15.75" customHeight="1">
      <c r="A33" s="26" t="s">
        <v>158</v>
      </c>
      <c r="B33" s="26" t="s">
        <v>91</v>
      </c>
      <c r="C33" s="27" t="s">
        <v>92</v>
      </c>
      <c r="D33" s="26" t="s">
        <v>159</v>
      </c>
      <c r="E33" s="27" t="str">
        <f t="array" ref="E33">IFERROR(XLOOKUP(#REF!,PERSONAL!$B$5:$B$135,PERSONAL!$A$5:$A$135),"POR REGISTRAR")</f>
        <v>POR REGISTRAR</v>
      </c>
      <c r="F33" s="26" t="s">
        <v>115</v>
      </c>
      <c r="G33" s="26" t="s">
        <v>116</v>
      </c>
      <c r="H33" s="28" t="str">
        <f>IF(COUNTIFS(MOVIMIENTOS!$D$5:$D$53,#REF!)=0,"",MAXIFS(MOVIMIENTOS!$B$5:$B$53,MOVIMIENTOS!$D$5:$D$53,#REF!,MOVIMIENTOS!$C$5:$C$53,"&lt;&gt;DEVOLUCION"))</f>
        <v/>
      </c>
      <c r="I33" s="28" t="str">
        <f>IF(COUNTIFS(MOVIMIENTOS!$D$5:$D$53,#REF!,MOVIMIENTOS!$C$5:$C$53,"DEVOLUCION")=0,"",MAXIFS(MOVIMIENTOS!$B$5:$B$53,MOVIMIENTOS!$D$5:$D$53,#REF!,MOVIMIENTOS!$C$5:$C$53,"DEVOLUCION"))</f>
        <v/>
      </c>
      <c r="J33" s="27">
        <f>COUNTIFS(MOVIMIENTOS!$D$5:$D$53,#REF!,MOVIMIENTOS!$C$5:$C$53,"PERDIDA")</f>
        <v>0</v>
      </c>
      <c r="K33" s="27" t="str">
        <f t="shared" si="1"/>
        <v/>
      </c>
      <c r="L33" s="26" t="s">
        <v>96</v>
      </c>
    </row>
    <row r="34" ht="15.75" customHeight="1">
      <c r="A34" s="26" t="s">
        <v>160</v>
      </c>
      <c r="B34" s="26" t="s">
        <v>91</v>
      </c>
      <c r="C34" s="27" t="s">
        <v>92</v>
      </c>
      <c r="D34" s="26" t="s">
        <v>161</v>
      </c>
      <c r="E34" s="27" t="str">
        <f t="array" ref="E34">IFERROR(XLOOKUP(#REF!,PERSONAL!$B$5:$B$135,PERSONAL!$A$5:$A$135),"POR REGISTRAR")</f>
        <v>POR REGISTRAR</v>
      </c>
      <c r="F34" s="26" t="s">
        <v>115</v>
      </c>
      <c r="G34" s="26" t="s">
        <v>116</v>
      </c>
      <c r="H34" s="28" t="str">
        <f>IF(COUNTIFS(MOVIMIENTOS!$D$5:$D$53,#REF!)=0,"",MAXIFS(MOVIMIENTOS!$B$5:$B$53,MOVIMIENTOS!$D$5:$D$53,#REF!,MOVIMIENTOS!$C$5:$C$53,"&lt;&gt;DEVOLUCION"))</f>
        <v/>
      </c>
      <c r="I34" s="28" t="str">
        <f>IF(COUNTIFS(MOVIMIENTOS!$D$5:$D$53,#REF!,MOVIMIENTOS!$C$5:$C$53,"DEVOLUCION")=0,"",MAXIFS(MOVIMIENTOS!$B$5:$B$53,MOVIMIENTOS!$D$5:$D$53,#REF!,MOVIMIENTOS!$C$5:$C$53,"DEVOLUCION"))</f>
        <v/>
      </c>
      <c r="J34" s="27">
        <f>COUNTIFS(MOVIMIENTOS!$D$5:$D$53,#REF!,MOVIMIENTOS!$C$5:$C$53,"PERDIDA")</f>
        <v>0</v>
      </c>
      <c r="K34" s="27" t="str">
        <f t="shared" si="1"/>
        <v/>
      </c>
      <c r="L34" s="26" t="s">
        <v>96</v>
      </c>
    </row>
    <row r="35" ht="15.75" customHeight="1">
      <c r="A35" s="26" t="s">
        <v>67</v>
      </c>
      <c r="B35" s="26" t="s">
        <v>91</v>
      </c>
      <c r="C35" s="30" t="s">
        <v>104</v>
      </c>
      <c r="D35" s="26" t="s">
        <v>162</v>
      </c>
      <c r="E35" s="27" t="str">
        <f t="array" ref="E35">IFERROR(XLOOKUP(#REF!,PERSONAL!$B$5:$B$135,PERSONAL!$A$5:$A$135),"POR REGISTRAR")</f>
        <v>POR REGISTRAR</v>
      </c>
      <c r="F35" s="26" t="s">
        <v>133</v>
      </c>
      <c r="G35" s="26" t="s">
        <v>123</v>
      </c>
      <c r="H35" s="28" t="str">
        <f>IF(COUNTIFS(MOVIMIENTOS!$D$5:$D$53,#REF!)=0,"",MAXIFS(MOVIMIENTOS!$B$5:$B$53,MOVIMIENTOS!$D$5:$D$53,#REF!,MOVIMIENTOS!$C$5:$C$53,"&lt;&gt;DEVOLUCION"))</f>
        <v/>
      </c>
      <c r="I35" s="28" t="str">
        <f>IF(COUNTIFS(MOVIMIENTOS!$D$5:$D$53,#REF!,MOVIMIENTOS!$C$5:$C$53,"DEVOLUCION")=0,"",MAXIFS(MOVIMIENTOS!$B$5:$B$53,MOVIMIENTOS!$D$5:$D$53,#REF!,MOVIMIENTOS!$C$5:$C$53,"DEVOLUCION"))</f>
        <v/>
      </c>
      <c r="J35" s="27">
        <f>COUNTIFS(MOVIMIENTOS!$D$5:$D$53,#REF!,MOVIMIENTOS!$C$5:$C$53,"PERDIDA")</f>
        <v>0</v>
      </c>
      <c r="K35" s="27" t="str">
        <f t="shared" si="1"/>
        <v/>
      </c>
      <c r="L35" s="31" t="s">
        <v>163</v>
      </c>
    </row>
    <row r="36" ht="15.75" customHeight="1">
      <c r="A36" s="26" t="s">
        <v>164</v>
      </c>
      <c r="B36" s="26" t="s">
        <v>91</v>
      </c>
      <c r="C36" s="27" t="s">
        <v>92</v>
      </c>
      <c r="D36" s="26" t="s">
        <v>165</v>
      </c>
      <c r="E36" s="27" t="str">
        <f t="array" ref="E36">IFERROR(XLOOKUP(#REF!,PERSONAL!$B$5:$B$135,PERSONAL!$A$5:$A$135),"POR REGISTRAR")</f>
        <v>POR REGISTRAR</v>
      </c>
      <c r="F36" s="26" t="s">
        <v>166</v>
      </c>
      <c r="G36" s="26" t="s">
        <v>95</v>
      </c>
      <c r="H36" s="28" t="str">
        <f>IF(COUNTIFS(MOVIMIENTOS!$D$5:$D$53,#REF!)=0,"",MAXIFS(MOVIMIENTOS!$B$5:$B$53,MOVIMIENTOS!$D$5:$D$53,#REF!,MOVIMIENTOS!$C$5:$C$53,"&lt;&gt;DEVOLUCION"))</f>
        <v/>
      </c>
      <c r="I36" s="28" t="str">
        <f>IF(COUNTIFS(MOVIMIENTOS!$D$5:$D$53,#REF!,MOVIMIENTOS!$C$5:$C$53,"DEVOLUCION")=0,"",MAXIFS(MOVIMIENTOS!$B$5:$B$53,MOVIMIENTOS!$D$5:$D$53,#REF!,MOVIMIENTOS!$C$5:$C$53,"DEVOLUCION"))</f>
        <v/>
      </c>
      <c r="J36" s="27">
        <f>COUNTIFS(MOVIMIENTOS!$D$5:$D$53,#REF!,MOVIMIENTOS!$C$5:$C$53,"PERDIDA")</f>
        <v>0</v>
      </c>
      <c r="K36" s="27" t="str">
        <f t="shared" si="1"/>
        <v/>
      </c>
      <c r="L36" s="26" t="s">
        <v>96</v>
      </c>
    </row>
    <row r="37" ht="15.75" customHeight="1">
      <c r="A37" s="26" t="s">
        <v>167</v>
      </c>
      <c r="B37" s="26" t="s">
        <v>91</v>
      </c>
      <c r="C37" s="27" t="s">
        <v>92</v>
      </c>
      <c r="D37" s="26" t="s">
        <v>168</v>
      </c>
      <c r="E37" s="27" t="str">
        <f t="array" ref="E37">IFERROR(XLOOKUP(#REF!,PERSONAL!$B$5:$B$135,PERSONAL!$A$5:$A$135),"POR REGISTRAR")</f>
        <v>POR REGISTRAR</v>
      </c>
      <c r="F37" s="26" t="s">
        <v>153</v>
      </c>
      <c r="G37" s="26" t="s">
        <v>123</v>
      </c>
      <c r="H37" s="28" t="str">
        <f>IF(COUNTIFS(MOVIMIENTOS!$D$5:$D$53,#REF!)=0,"",MAXIFS(MOVIMIENTOS!$B$5:$B$53,MOVIMIENTOS!$D$5:$D$53,#REF!,MOVIMIENTOS!$C$5:$C$53,"&lt;&gt;DEVOLUCION"))</f>
        <v/>
      </c>
      <c r="I37" s="28" t="str">
        <f>IF(COUNTIFS(MOVIMIENTOS!$D$5:$D$53,#REF!,MOVIMIENTOS!$C$5:$C$53,"DEVOLUCION")=0,"",MAXIFS(MOVIMIENTOS!$B$5:$B$53,MOVIMIENTOS!$D$5:$D$53,#REF!,MOVIMIENTOS!$C$5:$C$53,"DEVOLUCION"))</f>
        <v/>
      </c>
      <c r="J37" s="27">
        <f>COUNTIFS(MOVIMIENTOS!$D$5:$D$53,#REF!,MOVIMIENTOS!$C$5:$C$53,"PERDIDA")</f>
        <v>0</v>
      </c>
      <c r="K37" s="27" t="str">
        <f t="shared" si="1"/>
        <v/>
      </c>
      <c r="L37" s="26" t="s">
        <v>96</v>
      </c>
    </row>
    <row r="38" ht="15.75" customHeight="1">
      <c r="A38" s="26" t="s">
        <v>169</v>
      </c>
      <c r="B38" s="26" t="s">
        <v>91</v>
      </c>
      <c r="C38" s="27" t="s">
        <v>92</v>
      </c>
      <c r="D38" s="26" t="s">
        <v>170</v>
      </c>
      <c r="E38" s="27" t="str">
        <f t="array" ref="E38">IFERROR(XLOOKUP(#REF!,PERSONAL!$B$5:$B$135,PERSONAL!$A$5:$A$135),"POR REGISTRAR")</f>
        <v>POR REGISTRAR</v>
      </c>
      <c r="F38" s="26" t="s">
        <v>153</v>
      </c>
      <c r="G38" s="26" t="s">
        <v>123</v>
      </c>
      <c r="H38" s="28" t="str">
        <f>IF(COUNTIFS(MOVIMIENTOS!$D$5:$D$53,#REF!)=0,"",MAXIFS(MOVIMIENTOS!$B$5:$B$53,MOVIMIENTOS!$D$5:$D$53,#REF!,MOVIMIENTOS!$C$5:$C$53,"&lt;&gt;DEVOLUCION"))</f>
        <v/>
      </c>
      <c r="I38" s="28" t="str">
        <f>IF(COUNTIFS(MOVIMIENTOS!$D$5:$D$53,#REF!,MOVIMIENTOS!$C$5:$C$53,"DEVOLUCION")=0,"",MAXIFS(MOVIMIENTOS!$B$5:$B$53,MOVIMIENTOS!$D$5:$D$53,#REF!,MOVIMIENTOS!$C$5:$C$53,"DEVOLUCION"))</f>
        <v/>
      </c>
      <c r="J38" s="27">
        <f>COUNTIFS(MOVIMIENTOS!$D$5:$D$53,#REF!,MOVIMIENTOS!$C$5:$C$53,"PERDIDA")</f>
        <v>0</v>
      </c>
      <c r="K38" s="27" t="str">
        <f t="shared" si="1"/>
        <v/>
      </c>
      <c r="L38" s="26" t="s">
        <v>96</v>
      </c>
    </row>
    <row r="39" ht="15.75" customHeight="1">
      <c r="A39" s="26" t="s">
        <v>171</v>
      </c>
      <c r="B39" s="26" t="s">
        <v>91</v>
      </c>
      <c r="C39" s="27" t="s">
        <v>92</v>
      </c>
      <c r="D39" s="26" t="s">
        <v>128</v>
      </c>
      <c r="E39" s="27" t="str">
        <f t="array" ref="E39">IFERROR(XLOOKUP(#REF!,PERSONAL!$B$5:$B$135,PERSONAL!$A$5:$A$135),"POR REGISTRAR")</f>
        <v>POR REGISTRAR</v>
      </c>
      <c r="F39" s="26" t="s">
        <v>128</v>
      </c>
      <c r="G39" s="26" t="s">
        <v>123</v>
      </c>
      <c r="H39" s="28" t="str">
        <f>IF(COUNTIFS(MOVIMIENTOS!$D$5:$D$53,#REF!)=0,"",MAXIFS(MOVIMIENTOS!$B$5:$B$53,MOVIMIENTOS!$D$5:$D$53,#REF!,MOVIMIENTOS!$C$5:$C$53,"&lt;&gt;DEVOLUCION"))</f>
        <v/>
      </c>
      <c r="I39" s="28" t="str">
        <f>IF(COUNTIFS(MOVIMIENTOS!$D$5:$D$53,#REF!,MOVIMIENTOS!$C$5:$C$53,"DEVOLUCION")=0,"",MAXIFS(MOVIMIENTOS!$B$5:$B$53,MOVIMIENTOS!$D$5:$D$53,#REF!,MOVIMIENTOS!$C$5:$C$53,"DEVOLUCION"))</f>
        <v/>
      </c>
      <c r="J39" s="27">
        <f>COUNTIFS(MOVIMIENTOS!$D$5:$D$53,#REF!,MOVIMIENTOS!$C$5:$C$53,"PERDIDA")</f>
        <v>0</v>
      </c>
      <c r="K39" s="27" t="str">
        <f t="shared" si="1"/>
        <v/>
      </c>
      <c r="L39" s="26" t="s">
        <v>96</v>
      </c>
    </row>
    <row r="40" ht="15.75" customHeight="1">
      <c r="A40" s="26" t="s">
        <v>172</v>
      </c>
      <c r="B40" s="26" t="s">
        <v>91</v>
      </c>
      <c r="C40" s="27" t="s">
        <v>92</v>
      </c>
      <c r="D40" s="26" t="s">
        <v>173</v>
      </c>
      <c r="E40" s="27" t="str">
        <f t="array" ref="E40">IFERROR(XLOOKUP(#REF!,PERSONAL!$B$5:$B$135,PERSONAL!$A$5:$A$135),"POR REGISTRAR")</f>
        <v>POR REGISTRAR</v>
      </c>
      <c r="F40" s="26" t="s">
        <v>133</v>
      </c>
      <c r="G40" s="26" t="s">
        <v>123</v>
      </c>
      <c r="H40" s="28" t="str">
        <f>IF(COUNTIFS(MOVIMIENTOS!$D$5:$D$53,#REF!)=0,"",MAXIFS(MOVIMIENTOS!$B$5:$B$53,MOVIMIENTOS!$D$5:$D$53,#REF!,MOVIMIENTOS!$C$5:$C$53,"&lt;&gt;DEVOLUCION"))</f>
        <v/>
      </c>
      <c r="I40" s="28" t="str">
        <f>IF(COUNTIFS(MOVIMIENTOS!$D$5:$D$53,#REF!,MOVIMIENTOS!$C$5:$C$53,"DEVOLUCION")=0,"",MAXIFS(MOVIMIENTOS!$B$5:$B$53,MOVIMIENTOS!$D$5:$D$53,#REF!,MOVIMIENTOS!$C$5:$C$53,"DEVOLUCION"))</f>
        <v/>
      </c>
      <c r="J40" s="27">
        <f>COUNTIFS(MOVIMIENTOS!$D$5:$D$53,#REF!,MOVIMIENTOS!$C$5:$C$53,"PERDIDA")</f>
        <v>0</v>
      </c>
      <c r="K40" s="27" t="str">
        <f t="shared" si="1"/>
        <v/>
      </c>
      <c r="L40" s="26" t="s">
        <v>174</v>
      </c>
    </row>
    <row r="41" ht="15.75" customHeight="1">
      <c r="A41" s="26" t="s">
        <v>175</v>
      </c>
      <c r="B41" s="26" t="s">
        <v>91</v>
      </c>
      <c r="C41" s="27" t="s">
        <v>92</v>
      </c>
      <c r="D41" s="26" t="s">
        <v>176</v>
      </c>
      <c r="E41" s="27" t="str">
        <f t="array" ref="E41">IFERROR(XLOOKUP(#REF!,PERSONAL!$B$5:$B$135,PERSONAL!$A$5:$A$135),"POR REGISTRAR")</f>
        <v>POR REGISTRAR</v>
      </c>
      <c r="F41" s="26" t="s">
        <v>153</v>
      </c>
      <c r="G41" s="26" t="s">
        <v>123</v>
      </c>
      <c r="H41" s="28" t="str">
        <f>IF(COUNTIFS(MOVIMIENTOS!$D$5:$D$53,#REF!)=0,"",MAXIFS(MOVIMIENTOS!$B$5:$B$53,MOVIMIENTOS!$D$5:$D$53,#REF!,MOVIMIENTOS!$C$5:$C$53,"&lt;&gt;DEVOLUCION"))</f>
        <v/>
      </c>
      <c r="I41" s="28" t="str">
        <f>IF(COUNTIFS(MOVIMIENTOS!$D$5:$D$53,#REF!,MOVIMIENTOS!$C$5:$C$53,"DEVOLUCION")=0,"",MAXIFS(MOVIMIENTOS!$B$5:$B$53,MOVIMIENTOS!$D$5:$D$53,#REF!,MOVIMIENTOS!$C$5:$C$53,"DEVOLUCION"))</f>
        <v/>
      </c>
      <c r="J41" s="27">
        <f>COUNTIFS(MOVIMIENTOS!$D$5:$D$53,#REF!,MOVIMIENTOS!$C$5:$C$53,"PERDIDA")</f>
        <v>0</v>
      </c>
      <c r="K41" s="27" t="str">
        <f t="shared" si="1"/>
        <v/>
      </c>
      <c r="L41" s="26" t="s">
        <v>96</v>
      </c>
    </row>
    <row r="42" ht="15.75" customHeight="1">
      <c r="A42" s="26" t="s">
        <v>177</v>
      </c>
      <c r="B42" s="26" t="s">
        <v>91</v>
      </c>
      <c r="C42" s="27" t="s">
        <v>92</v>
      </c>
      <c r="D42" s="26" t="s">
        <v>178</v>
      </c>
      <c r="E42" s="27" t="str">
        <f t="array" ref="E42">IFERROR(XLOOKUP(#REF!,PERSONAL!$B$5:$B$135,PERSONAL!$A$5:$A$135),"POR REGISTRAR")</f>
        <v>POR REGISTRAR</v>
      </c>
      <c r="F42" s="26" t="s">
        <v>153</v>
      </c>
      <c r="G42" s="26" t="s">
        <v>123</v>
      </c>
      <c r="H42" s="28" t="str">
        <f>IF(COUNTIFS(MOVIMIENTOS!$D$5:$D$53,#REF!)=0,"",MAXIFS(MOVIMIENTOS!$B$5:$B$53,MOVIMIENTOS!$D$5:$D$53,#REF!,MOVIMIENTOS!$C$5:$C$53,"&lt;&gt;DEVOLUCION"))</f>
        <v/>
      </c>
      <c r="I42" s="28" t="str">
        <f>IF(COUNTIFS(MOVIMIENTOS!$D$5:$D$53,#REF!,MOVIMIENTOS!$C$5:$C$53,"DEVOLUCION")=0,"",MAXIFS(MOVIMIENTOS!$B$5:$B$53,MOVIMIENTOS!$D$5:$D$53,#REF!,MOVIMIENTOS!$C$5:$C$53,"DEVOLUCION"))</f>
        <v/>
      </c>
      <c r="J42" s="27">
        <f>COUNTIFS(MOVIMIENTOS!$D$5:$D$53,#REF!,MOVIMIENTOS!$C$5:$C$53,"PERDIDA")</f>
        <v>0</v>
      </c>
      <c r="K42" s="27" t="str">
        <f t="shared" si="1"/>
        <v/>
      </c>
      <c r="L42" s="26" t="s">
        <v>96</v>
      </c>
    </row>
    <row r="43" ht="15.75" customHeight="1">
      <c r="A43" s="26" t="s">
        <v>179</v>
      </c>
      <c r="B43" s="26" t="s">
        <v>91</v>
      </c>
      <c r="C43" s="27" t="s">
        <v>92</v>
      </c>
      <c r="D43" s="26" t="s">
        <v>180</v>
      </c>
      <c r="E43" s="27" t="str">
        <f t="array" ref="E43">IFERROR(XLOOKUP(#REF!,PERSONAL!$B$5:$B$135,PERSONAL!$A$5:$A$135),"POR REGISTRAR")</f>
        <v>POR REGISTRAR</v>
      </c>
      <c r="F43" s="26" t="s">
        <v>133</v>
      </c>
      <c r="G43" s="26" t="s">
        <v>123</v>
      </c>
      <c r="H43" s="28" t="str">
        <f>IF(COUNTIFS(MOVIMIENTOS!$D$5:$D$53,#REF!)=0,"",MAXIFS(MOVIMIENTOS!$B$5:$B$53,MOVIMIENTOS!$D$5:$D$53,#REF!,MOVIMIENTOS!$C$5:$C$53,"&lt;&gt;DEVOLUCION"))</f>
        <v/>
      </c>
      <c r="I43" s="28" t="str">
        <f>IF(COUNTIFS(MOVIMIENTOS!$D$5:$D$53,#REF!,MOVIMIENTOS!$C$5:$C$53,"DEVOLUCION")=0,"",MAXIFS(MOVIMIENTOS!$B$5:$B$53,MOVIMIENTOS!$D$5:$D$53,#REF!,MOVIMIENTOS!$C$5:$C$53,"DEVOLUCION"))</f>
        <v/>
      </c>
      <c r="J43" s="27">
        <f>COUNTIFS(MOVIMIENTOS!$D$5:$D$53,#REF!,MOVIMIENTOS!$C$5:$C$53,"PERDIDA")</f>
        <v>0</v>
      </c>
      <c r="K43" s="27" t="str">
        <f t="shared" si="1"/>
        <v/>
      </c>
      <c r="L43" s="26" t="s">
        <v>96</v>
      </c>
    </row>
    <row r="44" ht="15.75" customHeight="1">
      <c r="A44" s="26" t="s">
        <v>181</v>
      </c>
      <c r="B44" s="26" t="s">
        <v>91</v>
      </c>
      <c r="C44" s="27" t="s">
        <v>92</v>
      </c>
      <c r="D44" s="26" t="s">
        <v>182</v>
      </c>
      <c r="E44" s="27" t="str">
        <f t="array" ref="E44">IFERROR(XLOOKUP(#REF!,PERSONAL!$B$5:$B$135,PERSONAL!$A$5:$A$135),"POR REGISTRAR")</f>
        <v>POR REGISTRAR</v>
      </c>
      <c r="F44" s="26" t="s">
        <v>133</v>
      </c>
      <c r="G44" s="26" t="s">
        <v>123</v>
      </c>
      <c r="H44" s="28" t="str">
        <f>IF(COUNTIFS(MOVIMIENTOS!$D$5:$D$53,#REF!)=0,"",MAXIFS(MOVIMIENTOS!$B$5:$B$53,MOVIMIENTOS!$D$5:$D$53,#REF!,MOVIMIENTOS!$C$5:$C$53,"&lt;&gt;DEVOLUCION"))</f>
        <v/>
      </c>
      <c r="I44" s="28" t="str">
        <f>IF(COUNTIFS(MOVIMIENTOS!$D$5:$D$53,#REF!,MOVIMIENTOS!$C$5:$C$53,"DEVOLUCION")=0,"",MAXIFS(MOVIMIENTOS!$B$5:$B$53,MOVIMIENTOS!$D$5:$D$53,#REF!,MOVIMIENTOS!$C$5:$C$53,"DEVOLUCION"))</f>
        <v/>
      </c>
      <c r="J44" s="27">
        <f>COUNTIFS(MOVIMIENTOS!$D$5:$D$53,#REF!,MOVIMIENTOS!$C$5:$C$53,"PERDIDA")</f>
        <v>0</v>
      </c>
      <c r="K44" s="27" t="str">
        <f t="shared" si="1"/>
        <v/>
      </c>
      <c r="L44" s="26" t="s">
        <v>183</v>
      </c>
    </row>
    <row r="45" ht="15.75" customHeight="1">
      <c r="A45" s="26" t="s">
        <v>184</v>
      </c>
      <c r="B45" s="26" t="s">
        <v>91</v>
      </c>
      <c r="C45" s="27" t="s">
        <v>92</v>
      </c>
      <c r="D45" s="26" t="s">
        <v>185</v>
      </c>
      <c r="E45" s="27" t="str">
        <f t="array" ref="E45">IFERROR(XLOOKUP(#REF!,PERSONAL!$B$5:$B$135,PERSONAL!$A$5:$A$135),"POR REGISTRAR")</f>
        <v>POR REGISTRAR</v>
      </c>
      <c r="F45" s="26" t="s">
        <v>153</v>
      </c>
      <c r="G45" s="26" t="s">
        <v>123</v>
      </c>
      <c r="H45" s="28" t="str">
        <f>IF(COUNTIFS(MOVIMIENTOS!$D$5:$D$53,#REF!)=0,"",MAXIFS(MOVIMIENTOS!$B$5:$B$53,MOVIMIENTOS!$D$5:$D$53,#REF!,MOVIMIENTOS!$C$5:$C$53,"&lt;&gt;DEVOLUCION"))</f>
        <v/>
      </c>
      <c r="I45" s="28" t="str">
        <f>IF(COUNTIFS(MOVIMIENTOS!$D$5:$D$53,#REF!,MOVIMIENTOS!$C$5:$C$53,"DEVOLUCION")=0,"",MAXIFS(MOVIMIENTOS!$B$5:$B$53,MOVIMIENTOS!$D$5:$D$53,#REF!,MOVIMIENTOS!$C$5:$C$53,"DEVOLUCION"))</f>
        <v/>
      </c>
      <c r="J45" s="27">
        <f>COUNTIFS(MOVIMIENTOS!$D$5:$D$53,#REF!,MOVIMIENTOS!$C$5:$C$53,"PERDIDA")</f>
        <v>0</v>
      </c>
      <c r="K45" s="27" t="str">
        <f t="shared" si="1"/>
        <v/>
      </c>
      <c r="L45" s="26" t="s">
        <v>96</v>
      </c>
    </row>
    <row r="46" ht="15.75" customHeight="1">
      <c r="A46" s="26" t="s">
        <v>186</v>
      </c>
      <c r="B46" s="26" t="s">
        <v>91</v>
      </c>
      <c r="C46" s="27" t="s">
        <v>92</v>
      </c>
      <c r="D46" s="26" t="s">
        <v>187</v>
      </c>
      <c r="E46" s="27" t="str">
        <f t="array" ref="E46">IFERROR(XLOOKUP(#REF!,PERSONAL!$B$5:$B$135,PERSONAL!$A$5:$A$135),"POR REGISTRAR")</f>
        <v>POR REGISTRAR</v>
      </c>
      <c r="F46" s="26" t="s">
        <v>122</v>
      </c>
      <c r="G46" s="26" t="s">
        <v>123</v>
      </c>
      <c r="H46" s="28" t="str">
        <f>IF(COUNTIFS(MOVIMIENTOS!$D$5:$D$53,#REF!)=0,"",MAXIFS(MOVIMIENTOS!$B$5:$B$53,MOVIMIENTOS!$D$5:$D$53,#REF!,MOVIMIENTOS!$C$5:$C$53,"&lt;&gt;DEVOLUCION"))</f>
        <v/>
      </c>
      <c r="I46" s="28" t="str">
        <f>IF(COUNTIFS(MOVIMIENTOS!$D$5:$D$53,#REF!,MOVIMIENTOS!$C$5:$C$53,"DEVOLUCION")=0,"",MAXIFS(MOVIMIENTOS!$B$5:$B$53,MOVIMIENTOS!$D$5:$D$53,#REF!,MOVIMIENTOS!$C$5:$C$53,"DEVOLUCION"))</f>
        <v/>
      </c>
      <c r="J46" s="27">
        <f>COUNTIFS(MOVIMIENTOS!$D$5:$D$53,#REF!,MOVIMIENTOS!$C$5:$C$53,"PERDIDA")</f>
        <v>0</v>
      </c>
      <c r="K46" s="27" t="str">
        <f t="shared" si="1"/>
        <v/>
      </c>
      <c r="L46" s="26" t="s">
        <v>188</v>
      </c>
    </row>
    <row r="47" ht="15.75" customHeight="1">
      <c r="A47" s="26" t="s">
        <v>189</v>
      </c>
      <c r="B47" s="26" t="s">
        <v>91</v>
      </c>
      <c r="C47" s="27" t="s">
        <v>92</v>
      </c>
      <c r="D47" s="26" t="s">
        <v>190</v>
      </c>
      <c r="E47" s="27" t="str">
        <f t="array" ref="E47">IFERROR(XLOOKUP(#REF!,PERSONAL!$B$5:$B$135,PERSONAL!$A$5:$A$135),"POR REGISTRAR")</f>
        <v>POR REGISTRAR</v>
      </c>
      <c r="F47" s="26" t="s">
        <v>153</v>
      </c>
      <c r="G47" s="26" t="s">
        <v>123</v>
      </c>
      <c r="H47" s="28" t="str">
        <f>IF(COUNTIFS(MOVIMIENTOS!$D$5:$D$53,#REF!)=0,"",MAXIFS(MOVIMIENTOS!$B$5:$B$53,MOVIMIENTOS!$D$5:$D$53,#REF!,MOVIMIENTOS!$C$5:$C$53,"&lt;&gt;DEVOLUCION"))</f>
        <v/>
      </c>
      <c r="I47" s="28" t="str">
        <f>IF(COUNTIFS(MOVIMIENTOS!$D$5:$D$53,#REF!,MOVIMIENTOS!$C$5:$C$53,"DEVOLUCION")=0,"",MAXIFS(MOVIMIENTOS!$B$5:$B$53,MOVIMIENTOS!$D$5:$D$53,#REF!,MOVIMIENTOS!$C$5:$C$53,"DEVOLUCION"))</f>
        <v/>
      </c>
      <c r="J47" s="27">
        <f>COUNTIFS(MOVIMIENTOS!$D$5:$D$53,#REF!,MOVIMIENTOS!$C$5:$C$53,"PERDIDA")</f>
        <v>0</v>
      </c>
      <c r="K47" s="27" t="str">
        <f t="shared" si="1"/>
        <v/>
      </c>
      <c r="L47" s="26" t="s">
        <v>96</v>
      </c>
    </row>
    <row r="48" ht="15.75" customHeight="1">
      <c r="A48" s="26" t="s">
        <v>191</v>
      </c>
      <c r="B48" s="26" t="s">
        <v>91</v>
      </c>
      <c r="C48" s="27" t="s">
        <v>92</v>
      </c>
      <c r="D48" s="26" t="s">
        <v>192</v>
      </c>
      <c r="E48" s="27" t="str">
        <f t="array" ref="E48">IFERROR(XLOOKUP(#REF!,PERSONAL!$B$5:$B$135,PERSONAL!$A$5:$A$135),"POR REGISTRAR")</f>
        <v>POR REGISTRAR</v>
      </c>
      <c r="F48" s="26" t="s">
        <v>128</v>
      </c>
      <c r="G48" s="26" t="s">
        <v>123</v>
      </c>
      <c r="H48" s="28" t="str">
        <f>IF(COUNTIFS(MOVIMIENTOS!$D$5:$D$53,#REF!)=0,"",MAXIFS(MOVIMIENTOS!$B$5:$B$53,MOVIMIENTOS!$D$5:$D$53,#REF!,MOVIMIENTOS!$C$5:$C$53,"&lt;&gt;DEVOLUCION"))</f>
        <v/>
      </c>
      <c r="I48" s="28" t="str">
        <f>IF(COUNTIFS(MOVIMIENTOS!$D$5:$D$53,#REF!,MOVIMIENTOS!$C$5:$C$53,"DEVOLUCION")=0,"",MAXIFS(MOVIMIENTOS!$B$5:$B$53,MOVIMIENTOS!$D$5:$D$53,#REF!,MOVIMIENTOS!$C$5:$C$53,"DEVOLUCION"))</f>
        <v/>
      </c>
      <c r="J48" s="27">
        <f>COUNTIFS(MOVIMIENTOS!$D$5:$D$53,#REF!,MOVIMIENTOS!$C$5:$C$53,"PERDIDA")</f>
        <v>0</v>
      </c>
      <c r="K48" s="27" t="str">
        <f t="shared" si="1"/>
        <v/>
      </c>
      <c r="L48" s="26" t="s">
        <v>96</v>
      </c>
    </row>
    <row r="49" ht="15.75" customHeight="1">
      <c r="A49" s="26" t="s">
        <v>193</v>
      </c>
      <c r="B49" s="26" t="s">
        <v>91</v>
      </c>
      <c r="C49" s="27" t="s">
        <v>92</v>
      </c>
      <c r="D49" s="26" t="s">
        <v>194</v>
      </c>
      <c r="E49" s="27" t="str">
        <f t="array" ref="E49">IFERROR(XLOOKUP(#REF!,PERSONAL!$B$5:$B$135,PERSONAL!$A$5:$A$135),"POR REGISTRAR")</f>
        <v>POR REGISTRAR</v>
      </c>
      <c r="F49" s="26" t="s">
        <v>128</v>
      </c>
      <c r="G49" s="26" t="s">
        <v>123</v>
      </c>
      <c r="H49" s="28" t="str">
        <f>IF(COUNTIFS(MOVIMIENTOS!$D$5:$D$53,#REF!)=0,"",MAXIFS(MOVIMIENTOS!$B$5:$B$53,MOVIMIENTOS!$D$5:$D$53,#REF!,MOVIMIENTOS!$C$5:$C$53,"&lt;&gt;DEVOLUCION"))</f>
        <v/>
      </c>
      <c r="I49" s="28" t="str">
        <f>IF(COUNTIFS(MOVIMIENTOS!$D$5:$D$53,#REF!,MOVIMIENTOS!$C$5:$C$53,"DEVOLUCION")=0,"",MAXIFS(MOVIMIENTOS!$B$5:$B$53,MOVIMIENTOS!$D$5:$D$53,#REF!,MOVIMIENTOS!$C$5:$C$53,"DEVOLUCION"))</f>
        <v/>
      </c>
      <c r="J49" s="27">
        <f>COUNTIFS(MOVIMIENTOS!$D$5:$D$53,#REF!,MOVIMIENTOS!$C$5:$C$53,"PERDIDA")</f>
        <v>0</v>
      </c>
      <c r="K49" s="27" t="str">
        <f t="shared" si="1"/>
        <v/>
      </c>
      <c r="L49" s="26" t="s">
        <v>96</v>
      </c>
    </row>
    <row r="50" ht="15.75" customHeight="1">
      <c r="A50" s="26" t="s">
        <v>195</v>
      </c>
      <c r="B50" s="26" t="s">
        <v>91</v>
      </c>
      <c r="C50" s="27" t="s">
        <v>104</v>
      </c>
      <c r="D50" s="26" t="s">
        <v>196</v>
      </c>
      <c r="E50" s="27" t="str">
        <f t="array" ref="E50">IFERROR(XLOOKUP(#REF!,PERSONAL!$B$5:$B$135,PERSONAL!$A$5:$A$135),"POR REGISTRAR")</f>
        <v>POR REGISTRAR</v>
      </c>
      <c r="F50" s="26" t="s">
        <v>197</v>
      </c>
      <c r="G50" s="26" t="s">
        <v>198</v>
      </c>
      <c r="H50" s="28" t="str">
        <f>IF(COUNTIFS(MOVIMIENTOS!$D$5:$D$53,#REF!)=0,"",MAXIFS(MOVIMIENTOS!$B$5:$B$53,MOVIMIENTOS!$D$5:$D$53,#REF!,MOVIMIENTOS!$C$5:$C$53,"&lt;&gt;DEVOLUCION"))</f>
        <v/>
      </c>
      <c r="I50" s="28" t="str">
        <f>IF(COUNTIFS(MOVIMIENTOS!$D$5:$D$53,#REF!,MOVIMIENTOS!$C$5:$C$53,"DEVOLUCION")=0,"",MAXIFS(MOVIMIENTOS!$B$5:$B$53,MOVIMIENTOS!$D$5:$D$53,#REF!,MOVIMIENTOS!$C$5:$C$53,"DEVOLUCION"))</f>
        <v/>
      </c>
      <c r="J50" s="27">
        <f>COUNTIFS(MOVIMIENTOS!$D$5:$D$53,#REF!,MOVIMIENTOS!$C$5:$C$53,"PERDIDA")</f>
        <v>0</v>
      </c>
      <c r="K50" s="27" t="str">
        <f t="shared" si="1"/>
        <v/>
      </c>
      <c r="L50" s="26" t="s">
        <v>199</v>
      </c>
    </row>
    <row r="51" ht="15.75" customHeight="1">
      <c r="A51" s="26" t="s">
        <v>200</v>
      </c>
      <c r="B51" s="26" t="s">
        <v>91</v>
      </c>
      <c r="C51" s="27" t="s">
        <v>92</v>
      </c>
      <c r="D51" s="26" t="s">
        <v>197</v>
      </c>
      <c r="E51" s="27" t="str">
        <f t="array" ref="E51">IFERROR(XLOOKUP(#REF!,PERSONAL!$B$5:$B$135,PERSONAL!$A$5:$A$135),"POR REGISTRAR")</f>
        <v>POR REGISTRAR</v>
      </c>
      <c r="F51" s="26" t="s">
        <v>197</v>
      </c>
      <c r="G51" s="26" t="s">
        <v>198</v>
      </c>
      <c r="H51" s="28" t="str">
        <f>IF(COUNTIFS(MOVIMIENTOS!$D$5:$D$53,#REF!)=0,"",MAXIFS(MOVIMIENTOS!$B$5:$B$53,MOVIMIENTOS!$D$5:$D$53,#REF!,MOVIMIENTOS!$C$5:$C$53,"&lt;&gt;DEVOLUCION"))</f>
        <v/>
      </c>
      <c r="I51" s="28" t="str">
        <f>IF(COUNTIFS(MOVIMIENTOS!$D$5:$D$53,#REF!,MOVIMIENTOS!$C$5:$C$53,"DEVOLUCION")=0,"",MAXIFS(MOVIMIENTOS!$B$5:$B$53,MOVIMIENTOS!$D$5:$D$53,#REF!,MOVIMIENTOS!$C$5:$C$53,"DEVOLUCION"))</f>
        <v/>
      </c>
      <c r="J51" s="27">
        <f>COUNTIFS(MOVIMIENTOS!$D$5:$D$53,#REF!,MOVIMIENTOS!$C$5:$C$53,"PERDIDA")</f>
        <v>0</v>
      </c>
      <c r="K51" s="27" t="str">
        <f t="shared" si="1"/>
        <v/>
      </c>
      <c r="L51" s="26" t="s">
        <v>96</v>
      </c>
    </row>
    <row r="52" ht="15.75" customHeight="1">
      <c r="A52" s="26" t="s">
        <v>201</v>
      </c>
      <c r="B52" s="26" t="s">
        <v>91</v>
      </c>
      <c r="C52" s="27" t="s">
        <v>92</v>
      </c>
      <c r="D52" s="26" t="s">
        <v>115</v>
      </c>
      <c r="E52" s="27" t="str">
        <f t="array" ref="E52">IFERROR(XLOOKUP(#REF!,PERSONAL!$B$5:$B$135,PERSONAL!$A$5:$A$135),"POR REGISTRAR")</f>
        <v>POR REGISTRAR</v>
      </c>
      <c r="F52" s="26" t="s">
        <v>115</v>
      </c>
      <c r="G52" s="26" t="s">
        <v>116</v>
      </c>
      <c r="H52" s="28" t="str">
        <f>IF(COUNTIFS(MOVIMIENTOS!$D$5:$D$53,#REF!)=0,"",MAXIFS(MOVIMIENTOS!$B$5:$B$53,MOVIMIENTOS!$D$5:$D$53,#REF!,MOVIMIENTOS!$C$5:$C$53,"&lt;&gt;DEVOLUCION"))</f>
        <v/>
      </c>
      <c r="I52" s="28" t="str">
        <f>IF(COUNTIFS(MOVIMIENTOS!$D$5:$D$53,#REF!,MOVIMIENTOS!$C$5:$C$53,"DEVOLUCION")=0,"",MAXIFS(MOVIMIENTOS!$B$5:$B$53,MOVIMIENTOS!$D$5:$D$53,#REF!,MOVIMIENTOS!$C$5:$C$53,"DEVOLUCION"))</f>
        <v/>
      </c>
      <c r="J52" s="27">
        <f>COUNTIFS(MOVIMIENTOS!$D$5:$D$53,#REF!,MOVIMIENTOS!$C$5:$C$53,"PERDIDA")</f>
        <v>0</v>
      </c>
      <c r="K52" s="27" t="str">
        <f t="shared" si="1"/>
        <v/>
      </c>
      <c r="L52" s="26" t="s">
        <v>202</v>
      </c>
    </row>
    <row r="53" ht="15.75" customHeight="1">
      <c r="A53" s="26" t="s">
        <v>203</v>
      </c>
      <c r="B53" s="26" t="s">
        <v>91</v>
      </c>
      <c r="C53" s="27" t="s">
        <v>92</v>
      </c>
      <c r="D53" s="26" t="s">
        <v>166</v>
      </c>
      <c r="E53" s="27" t="str">
        <f t="array" ref="E53">IFERROR(XLOOKUP(#REF!,PERSONAL!$B$5:$B$135,PERSONAL!$A$5:$A$135),"POR REGISTRAR")</f>
        <v>POR REGISTRAR</v>
      </c>
      <c r="F53" s="26" t="s">
        <v>166</v>
      </c>
      <c r="G53" s="26" t="s">
        <v>95</v>
      </c>
      <c r="H53" s="28" t="str">
        <f>IF(COUNTIFS(MOVIMIENTOS!$D$5:$D$53,#REF!)=0,"",MAXIFS(MOVIMIENTOS!$B$5:$B$53,MOVIMIENTOS!$D$5:$D$53,#REF!,MOVIMIENTOS!$C$5:$C$53,"&lt;&gt;DEVOLUCION"))</f>
        <v/>
      </c>
      <c r="I53" s="28" t="str">
        <f>IF(COUNTIFS(MOVIMIENTOS!$D$5:$D$53,#REF!,MOVIMIENTOS!$C$5:$C$53,"DEVOLUCION")=0,"",MAXIFS(MOVIMIENTOS!$B$5:$B$53,MOVIMIENTOS!$D$5:$D$53,#REF!,MOVIMIENTOS!$C$5:$C$53,"DEVOLUCION"))</f>
        <v/>
      </c>
      <c r="J53" s="27">
        <f>COUNTIFS(MOVIMIENTOS!$D$5:$D$53,#REF!,MOVIMIENTOS!$C$5:$C$53,"PERDIDA")</f>
        <v>0</v>
      </c>
      <c r="K53" s="27" t="str">
        <f t="shared" si="1"/>
        <v/>
      </c>
      <c r="L53" s="26" t="s">
        <v>96</v>
      </c>
    </row>
    <row r="54" ht="15.75" customHeight="1">
      <c r="A54" s="26" t="s">
        <v>204</v>
      </c>
      <c r="B54" s="26" t="s">
        <v>91</v>
      </c>
      <c r="C54" s="27" t="s">
        <v>92</v>
      </c>
      <c r="D54" s="26" t="s">
        <v>205</v>
      </c>
      <c r="E54" s="27" t="str">
        <f t="array" ref="E54">IFERROR(XLOOKUP(#REF!,PERSONAL!$B$5:$B$135,PERSONAL!$A$5:$A$135),"POR REGISTRAR")</f>
        <v>POR REGISTRAR</v>
      </c>
      <c r="F54" s="26" t="s">
        <v>133</v>
      </c>
      <c r="G54" s="26" t="s">
        <v>123</v>
      </c>
      <c r="H54" s="28" t="str">
        <f>IF(COUNTIFS(MOVIMIENTOS!$D$5:$D$53,#REF!)=0,"",MAXIFS(MOVIMIENTOS!$B$5:$B$53,MOVIMIENTOS!$D$5:$D$53,#REF!,MOVIMIENTOS!$C$5:$C$53,"&lt;&gt;DEVOLUCION"))</f>
        <v/>
      </c>
      <c r="I54" s="28" t="str">
        <f>IF(COUNTIFS(MOVIMIENTOS!$D$5:$D$53,#REF!,MOVIMIENTOS!$C$5:$C$53,"DEVOLUCION")=0,"",MAXIFS(MOVIMIENTOS!$B$5:$B$53,MOVIMIENTOS!$D$5:$D$53,#REF!,MOVIMIENTOS!$C$5:$C$53,"DEVOLUCION"))</f>
        <v/>
      </c>
      <c r="J54" s="27">
        <f>COUNTIFS(MOVIMIENTOS!$D$5:$D$53,#REF!,MOVIMIENTOS!$C$5:$C$53,"PERDIDA")</f>
        <v>0</v>
      </c>
      <c r="K54" s="27" t="str">
        <f t="shared" si="1"/>
        <v/>
      </c>
      <c r="L54" s="26" t="s">
        <v>96</v>
      </c>
    </row>
    <row r="55" ht="15.75" customHeight="1">
      <c r="A55" s="26" t="s">
        <v>206</v>
      </c>
      <c r="B55" s="26" t="s">
        <v>91</v>
      </c>
      <c r="C55" s="27" t="s">
        <v>92</v>
      </c>
      <c r="D55" s="26" t="s">
        <v>207</v>
      </c>
      <c r="E55" s="27" t="str">
        <f t="array" ref="E55">IFERROR(XLOOKUP(#REF!,PERSONAL!$B$5:$B$135,PERSONAL!$A$5:$A$135),"POR REGISTRAR")</f>
        <v>POR REGISTRAR</v>
      </c>
      <c r="F55" s="26" t="s">
        <v>197</v>
      </c>
      <c r="G55" s="26" t="s">
        <v>198</v>
      </c>
      <c r="H55" s="28" t="str">
        <f>IF(COUNTIFS(MOVIMIENTOS!$D$5:$D$53,#REF!)=0,"",MAXIFS(MOVIMIENTOS!$B$5:$B$53,MOVIMIENTOS!$D$5:$D$53,#REF!,MOVIMIENTOS!$C$5:$C$53,"&lt;&gt;DEVOLUCION"))</f>
        <v/>
      </c>
      <c r="I55" s="28" t="str">
        <f>IF(COUNTIFS(MOVIMIENTOS!$D$5:$D$53,#REF!,MOVIMIENTOS!$C$5:$C$53,"DEVOLUCION")=0,"",MAXIFS(MOVIMIENTOS!$B$5:$B$53,MOVIMIENTOS!$D$5:$D$53,#REF!,MOVIMIENTOS!$C$5:$C$53,"DEVOLUCION"))</f>
        <v/>
      </c>
      <c r="J55" s="27">
        <f>COUNTIFS(MOVIMIENTOS!$D$5:$D$53,#REF!,MOVIMIENTOS!$C$5:$C$53,"PERDIDA")</f>
        <v>0</v>
      </c>
      <c r="K55" s="27" t="str">
        <f t="shared" si="1"/>
        <v/>
      </c>
      <c r="L55" s="26" t="s">
        <v>96</v>
      </c>
    </row>
    <row r="56" ht="15.75" customHeight="1">
      <c r="A56" s="26" t="s">
        <v>208</v>
      </c>
      <c r="B56" s="26" t="s">
        <v>91</v>
      </c>
      <c r="C56" s="27" t="s">
        <v>92</v>
      </c>
      <c r="D56" s="26" t="s">
        <v>209</v>
      </c>
      <c r="E56" s="27" t="str">
        <f t="array" ref="E56">IFERROR(XLOOKUP(#REF!,PERSONAL!$B$5:$B$135,PERSONAL!$A$5:$A$135),"POR REGISTRAR")</f>
        <v>POR REGISTRAR</v>
      </c>
      <c r="F56" s="26" t="s">
        <v>197</v>
      </c>
      <c r="G56" s="26" t="s">
        <v>198</v>
      </c>
      <c r="H56" s="28" t="str">
        <f>IF(COUNTIFS(MOVIMIENTOS!$D$5:$D$53,#REF!)=0,"",MAXIFS(MOVIMIENTOS!$B$5:$B$53,MOVIMIENTOS!$D$5:$D$53,#REF!,MOVIMIENTOS!$C$5:$C$53,"&lt;&gt;DEVOLUCION"))</f>
        <v/>
      </c>
      <c r="I56" s="28" t="str">
        <f>IF(COUNTIFS(MOVIMIENTOS!$D$5:$D$53,#REF!,MOVIMIENTOS!$C$5:$C$53,"DEVOLUCION")=0,"",MAXIFS(MOVIMIENTOS!$B$5:$B$53,MOVIMIENTOS!$D$5:$D$53,#REF!,MOVIMIENTOS!$C$5:$C$53,"DEVOLUCION"))</f>
        <v/>
      </c>
      <c r="J56" s="27">
        <f>COUNTIFS(MOVIMIENTOS!$D$5:$D$53,#REF!,MOVIMIENTOS!$C$5:$C$53,"PERDIDA")</f>
        <v>0</v>
      </c>
      <c r="K56" s="27" t="str">
        <f t="shared" si="1"/>
        <v/>
      </c>
      <c r="L56" s="26" t="s">
        <v>210</v>
      </c>
    </row>
    <row r="57" ht="15.75" customHeight="1">
      <c r="A57" s="26" t="s">
        <v>211</v>
      </c>
      <c r="B57" s="26" t="s">
        <v>91</v>
      </c>
      <c r="C57" s="27" t="s">
        <v>92</v>
      </c>
      <c r="D57" s="26" t="s">
        <v>212</v>
      </c>
      <c r="E57" s="27" t="str">
        <f t="array" ref="E57">IFERROR(XLOOKUP(#REF!,PERSONAL!$B$5:$B$135,PERSONAL!$A$5:$A$135),"POR REGISTRAR")</f>
        <v>POR REGISTRAR</v>
      </c>
      <c r="F57" s="26" t="s">
        <v>197</v>
      </c>
      <c r="G57" s="26" t="s">
        <v>198</v>
      </c>
      <c r="H57" s="28" t="str">
        <f>IF(COUNTIFS(MOVIMIENTOS!$D$5:$D$53,#REF!)=0,"",MAXIFS(MOVIMIENTOS!$B$5:$B$53,MOVIMIENTOS!$D$5:$D$53,#REF!,MOVIMIENTOS!$C$5:$C$53,"&lt;&gt;DEVOLUCION"))</f>
        <v/>
      </c>
      <c r="I57" s="28" t="str">
        <f>IF(COUNTIFS(MOVIMIENTOS!$D$5:$D$53,#REF!,MOVIMIENTOS!$C$5:$C$53,"DEVOLUCION")=0,"",MAXIFS(MOVIMIENTOS!$B$5:$B$53,MOVIMIENTOS!$D$5:$D$53,#REF!,MOVIMIENTOS!$C$5:$C$53,"DEVOLUCION"))</f>
        <v/>
      </c>
      <c r="J57" s="27">
        <f>COUNTIFS(MOVIMIENTOS!$D$5:$D$53,#REF!,MOVIMIENTOS!$C$5:$C$53,"PERDIDA")</f>
        <v>0</v>
      </c>
      <c r="K57" s="27" t="str">
        <f t="shared" si="1"/>
        <v/>
      </c>
      <c r="L57" s="26" t="s">
        <v>96</v>
      </c>
    </row>
    <row r="58" ht="15.75" customHeight="1">
      <c r="A58" s="26" t="s">
        <v>213</v>
      </c>
      <c r="B58" s="26" t="s">
        <v>91</v>
      </c>
      <c r="C58" s="27" t="s">
        <v>92</v>
      </c>
      <c r="D58" s="26" t="s">
        <v>214</v>
      </c>
      <c r="E58" s="27" t="str">
        <f t="array" ref="E58">IFERROR(XLOOKUP(#REF!,PERSONAL!$B$5:$B$135,PERSONAL!$A$5:$A$135),"POR REGISTRAR")</f>
        <v>POR REGISTRAR</v>
      </c>
      <c r="F58" s="26" t="s">
        <v>166</v>
      </c>
      <c r="G58" s="26" t="s">
        <v>95</v>
      </c>
      <c r="H58" s="28" t="str">
        <f>IF(COUNTIFS(MOVIMIENTOS!$D$5:$D$53,#REF!)=0,"",MAXIFS(MOVIMIENTOS!$B$5:$B$53,MOVIMIENTOS!$D$5:$D$53,#REF!,MOVIMIENTOS!$C$5:$C$53,"&lt;&gt;DEVOLUCION"))</f>
        <v/>
      </c>
      <c r="I58" s="28" t="str">
        <f>IF(COUNTIFS(MOVIMIENTOS!$D$5:$D$53,#REF!,MOVIMIENTOS!$C$5:$C$53,"DEVOLUCION")=0,"",MAXIFS(MOVIMIENTOS!$B$5:$B$53,MOVIMIENTOS!$D$5:$D$53,#REF!,MOVIMIENTOS!$C$5:$C$53,"DEVOLUCION"))</f>
        <v/>
      </c>
      <c r="J58" s="27">
        <f>COUNTIFS(MOVIMIENTOS!$D$5:$D$53,#REF!,MOVIMIENTOS!$C$5:$C$53,"PERDIDA")</f>
        <v>0</v>
      </c>
      <c r="K58" s="27" t="str">
        <f t="shared" si="1"/>
        <v/>
      </c>
      <c r="L58" s="26" t="s">
        <v>96</v>
      </c>
    </row>
    <row r="59" ht="15.75" customHeight="1">
      <c r="A59" s="26" t="s">
        <v>215</v>
      </c>
      <c r="B59" s="26" t="s">
        <v>91</v>
      </c>
      <c r="C59" s="27" t="s">
        <v>92</v>
      </c>
      <c r="D59" s="26" t="s">
        <v>216</v>
      </c>
      <c r="E59" s="27" t="str">
        <f t="array" ref="E59">IFERROR(XLOOKUP(#REF!,PERSONAL!$B$5:$B$135,PERSONAL!$A$5:$A$135),"POR REGISTRAR")</f>
        <v>POR REGISTRAR</v>
      </c>
      <c r="F59" s="26" t="s">
        <v>217</v>
      </c>
      <c r="G59" s="26" t="s">
        <v>198</v>
      </c>
      <c r="H59" s="28" t="str">
        <f>IF(COUNTIFS(MOVIMIENTOS!$D$5:$D$53,#REF!)=0,"",MAXIFS(MOVIMIENTOS!$B$5:$B$53,MOVIMIENTOS!$D$5:$D$53,#REF!,MOVIMIENTOS!$C$5:$C$53,"&lt;&gt;DEVOLUCION"))</f>
        <v/>
      </c>
      <c r="I59" s="28" t="str">
        <f>IF(COUNTIFS(MOVIMIENTOS!$D$5:$D$53,#REF!,MOVIMIENTOS!$C$5:$C$53,"DEVOLUCION")=0,"",MAXIFS(MOVIMIENTOS!$B$5:$B$53,MOVIMIENTOS!$D$5:$D$53,#REF!,MOVIMIENTOS!$C$5:$C$53,"DEVOLUCION"))</f>
        <v/>
      </c>
      <c r="J59" s="27">
        <f>COUNTIFS(MOVIMIENTOS!$D$5:$D$53,#REF!,MOVIMIENTOS!$C$5:$C$53,"PERDIDA")</f>
        <v>0</v>
      </c>
      <c r="K59" s="27" t="str">
        <f t="shared" si="1"/>
        <v/>
      </c>
      <c r="L59" s="26" t="s">
        <v>96</v>
      </c>
    </row>
    <row r="60" ht="15.75" customHeight="1">
      <c r="A60" s="26" t="s">
        <v>218</v>
      </c>
      <c r="B60" s="26" t="s">
        <v>91</v>
      </c>
      <c r="C60" s="27" t="s">
        <v>92</v>
      </c>
      <c r="D60" s="26" t="s">
        <v>219</v>
      </c>
      <c r="E60" s="27" t="str">
        <f t="array" ref="E60">IFERROR(XLOOKUP(#REF!,PERSONAL!$B$5:$B$135,PERSONAL!$A$5:$A$135),"POR REGISTRAR")</f>
        <v>POR REGISTRAR</v>
      </c>
      <c r="F60" s="26" t="s">
        <v>135</v>
      </c>
      <c r="G60" s="26" t="s">
        <v>136</v>
      </c>
      <c r="H60" s="28" t="str">
        <f>IF(COUNTIFS(MOVIMIENTOS!$D$5:$D$53,#REF!)=0,"",MAXIFS(MOVIMIENTOS!$B$5:$B$53,MOVIMIENTOS!$D$5:$D$53,#REF!,MOVIMIENTOS!$C$5:$C$53,"&lt;&gt;DEVOLUCION"))</f>
        <v/>
      </c>
      <c r="I60" s="28" t="str">
        <f>IF(COUNTIFS(MOVIMIENTOS!$D$5:$D$53,#REF!,MOVIMIENTOS!$C$5:$C$53,"DEVOLUCION")=0,"",MAXIFS(MOVIMIENTOS!$B$5:$B$53,MOVIMIENTOS!$D$5:$D$53,#REF!,MOVIMIENTOS!$C$5:$C$53,"DEVOLUCION"))</f>
        <v/>
      </c>
      <c r="J60" s="27">
        <f>COUNTIFS(MOVIMIENTOS!$D$5:$D$53,#REF!,MOVIMIENTOS!$C$5:$C$53,"PERDIDA")</f>
        <v>0</v>
      </c>
      <c r="K60" s="27" t="str">
        <f t="shared" si="1"/>
        <v/>
      </c>
      <c r="L60" s="26" t="s">
        <v>96</v>
      </c>
    </row>
    <row r="61" ht="15.75" customHeight="1">
      <c r="A61" s="26" t="s">
        <v>220</v>
      </c>
      <c r="B61" s="26" t="s">
        <v>91</v>
      </c>
      <c r="C61" s="27" t="s">
        <v>92</v>
      </c>
      <c r="D61" s="26" t="s">
        <v>221</v>
      </c>
      <c r="E61" s="27" t="str">
        <f t="array" ref="E61">IFERROR(XLOOKUP(#REF!,PERSONAL!$B$5:$B$135,PERSONAL!$A$5:$A$135),"POR REGISTRAR")</f>
        <v>POR REGISTRAR</v>
      </c>
      <c r="F61" s="26" t="s">
        <v>166</v>
      </c>
      <c r="G61" s="26" t="s">
        <v>95</v>
      </c>
      <c r="H61" s="28" t="str">
        <f>IF(COUNTIFS(MOVIMIENTOS!$D$5:$D$53,#REF!)=0,"",MAXIFS(MOVIMIENTOS!$B$5:$B$53,MOVIMIENTOS!$D$5:$D$53,#REF!,MOVIMIENTOS!$C$5:$C$53,"&lt;&gt;DEVOLUCION"))</f>
        <v/>
      </c>
      <c r="I61" s="28" t="str">
        <f>IF(COUNTIFS(MOVIMIENTOS!$D$5:$D$53,#REF!,MOVIMIENTOS!$C$5:$C$53,"DEVOLUCION")=0,"",MAXIFS(MOVIMIENTOS!$B$5:$B$53,MOVIMIENTOS!$D$5:$D$53,#REF!,MOVIMIENTOS!$C$5:$C$53,"DEVOLUCION"))</f>
        <v/>
      </c>
      <c r="J61" s="27">
        <f>COUNTIFS(MOVIMIENTOS!$D$5:$D$53,#REF!,MOVIMIENTOS!$C$5:$C$53,"PERDIDA")</f>
        <v>0</v>
      </c>
      <c r="K61" s="27" t="str">
        <f t="shared" si="1"/>
        <v/>
      </c>
      <c r="L61" s="26" t="s">
        <v>96</v>
      </c>
    </row>
    <row r="62" ht="15.75" customHeight="1">
      <c r="A62" s="26" t="s">
        <v>222</v>
      </c>
      <c r="B62" s="26" t="s">
        <v>91</v>
      </c>
      <c r="C62" s="27" t="s">
        <v>223</v>
      </c>
      <c r="D62" s="26" t="s">
        <v>224</v>
      </c>
      <c r="E62" s="27" t="str">
        <f t="array" ref="E62">IFERROR(XLOOKUP(#REF!,PERSONAL!$B$5:$B$135,PERSONAL!$A$5:$A$135),"POR REGISTRAR")</f>
        <v>POR REGISTRAR</v>
      </c>
      <c r="F62" s="26" t="s">
        <v>197</v>
      </c>
      <c r="G62" s="26" t="s">
        <v>198</v>
      </c>
      <c r="H62" s="28" t="str">
        <f>IF(COUNTIFS(MOVIMIENTOS!$D$5:$D$53,#REF!)=0,"",MAXIFS(MOVIMIENTOS!$B$5:$B$53,MOVIMIENTOS!$D$5:$D$53,#REF!,MOVIMIENTOS!$C$5:$C$53,"&lt;&gt;DEVOLUCION"))</f>
        <v/>
      </c>
      <c r="I62" s="28" t="str">
        <f>IF(COUNTIFS(MOVIMIENTOS!$D$5:$D$53,#REF!,MOVIMIENTOS!$C$5:$C$53,"DEVOLUCION")=0,"",MAXIFS(MOVIMIENTOS!$B$5:$B$53,MOVIMIENTOS!$D$5:$D$53,#REF!,MOVIMIENTOS!$C$5:$C$53,"DEVOLUCION"))</f>
        <v/>
      </c>
      <c r="J62" s="27">
        <f>COUNTIFS(MOVIMIENTOS!$D$5:$D$53,#REF!,MOVIMIENTOS!$C$5:$C$53,"PERDIDA")</f>
        <v>0</v>
      </c>
      <c r="K62" s="27" t="str">
        <f t="shared" si="1"/>
        <v/>
      </c>
      <c r="L62" s="26" t="s">
        <v>225</v>
      </c>
    </row>
    <row r="63" ht="15.75" customHeight="1">
      <c r="A63" s="26" t="s">
        <v>226</v>
      </c>
      <c r="B63" s="26" t="s">
        <v>91</v>
      </c>
      <c r="C63" s="27" t="s">
        <v>92</v>
      </c>
      <c r="D63" s="26" t="s">
        <v>227</v>
      </c>
      <c r="E63" s="27" t="str">
        <f t="array" ref="E63">IFERROR(XLOOKUP(#REF!,PERSONAL!$B$5:$B$135,PERSONAL!$A$5:$A$135),"POR REGISTRAR")</f>
        <v>POR REGISTRAR</v>
      </c>
      <c r="F63" s="26" t="s">
        <v>217</v>
      </c>
      <c r="G63" s="26" t="s">
        <v>198</v>
      </c>
      <c r="H63" s="28" t="str">
        <f>IF(COUNTIFS(MOVIMIENTOS!$D$5:$D$53,#REF!)=0,"",MAXIFS(MOVIMIENTOS!$B$5:$B$53,MOVIMIENTOS!$D$5:$D$53,#REF!,MOVIMIENTOS!$C$5:$C$53,"&lt;&gt;DEVOLUCION"))</f>
        <v/>
      </c>
      <c r="I63" s="28" t="str">
        <f>IF(COUNTIFS(MOVIMIENTOS!$D$5:$D$53,#REF!,MOVIMIENTOS!$C$5:$C$53,"DEVOLUCION")=0,"",MAXIFS(MOVIMIENTOS!$B$5:$B$53,MOVIMIENTOS!$D$5:$D$53,#REF!,MOVIMIENTOS!$C$5:$C$53,"DEVOLUCION"))</f>
        <v/>
      </c>
      <c r="J63" s="27">
        <f>COUNTIFS(MOVIMIENTOS!$D$5:$D$53,#REF!,MOVIMIENTOS!$C$5:$C$53,"PERDIDA")</f>
        <v>0</v>
      </c>
      <c r="K63" s="27" t="str">
        <f t="shared" si="1"/>
        <v/>
      </c>
      <c r="L63" s="26" t="s">
        <v>96</v>
      </c>
    </row>
    <row r="64" ht="15.75" customHeight="1">
      <c r="A64" s="26" t="s">
        <v>228</v>
      </c>
      <c r="B64" s="26" t="s">
        <v>91</v>
      </c>
      <c r="C64" s="27" t="s">
        <v>92</v>
      </c>
      <c r="D64" s="26" t="s">
        <v>229</v>
      </c>
      <c r="E64" s="27" t="str">
        <f t="array" ref="E64">IFERROR(XLOOKUP(#REF!,PERSONAL!$B$5:$B$135,PERSONAL!$A$5:$A$135),"POR REGISTRAR")</f>
        <v>POR REGISTRAR</v>
      </c>
      <c r="F64" s="26" t="s">
        <v>217</v>
      </c>
      <c r="G64" s="26" t="s">
        <v>198</v>
      </c>
      <c r="H64" s="28" t="str">
        <f>IF(COUNTIFS(MOVIMIENTOS!$D$5:$D$53,#REF!)=0,"",MAXIFS(MOVIMIENTOS!$B$5:$B$53,MOVIMIENTOS!$D$5:$D$53,#REF!,MOVIMIENTOS!$C$5:$C$53,"&lt;&gt;DEVOLUCION"))</f>
        <v/>
      </c>
      <c r="I64" s="28" t="str">
        <f>IF(COUNTIFS(MOVIMIENTOS!$D$5:$D$53,#REF!,MOVIMIENTOS!$C$5:$C$53,"DEVOLUCION")=0,"",MAXIFS(MOVIMIENTOS!$B$5:$B$53,MOVIMIENTOS!$D$5:$D$53,#REF!,MOVIMIENTOS!$C$5:$C$53,"DEVOLUCION"))</f>
        <v/>
      </c>
      <c r="J64" s="27">
        <f>COUNTIFS(MOVIMIENTOS!$D$5:$D$53,#REF!,MOVIMIENTOS!$C$5:$C$53,"PERDIDA")</f>
        <v>0</v>
      </c>
      <c r="K64" s="27" t="str">
        <f t="shared" si="1"/>
        <v/>
      </c>
      <c r="L64" s="26" t="s">
        <v>96</v>
      </c>
    </row>
    <row r="65" ht="15.75" customHeight="1">
      <c r="A65" s="26" t="s">
        <v>230</v>
      </c>
      <c r="B65" s="26" t="s">
        <v>91</v>
      </c>
      <c r="C65" s="27" t="s">
        <v>92</v>
      </c>
      <c r="D65" s="26" t="s">
        <v>231</v>
      </c>
      <c r="E65" s="27" t="str">
        <f t="array" ref="E65">IFERROR(XLOOKUP(#REF!,PERSONAL!$B$5:$B$135,PERSONAL!$A$5:$A$135),"POR REGISTRAR")</f>
        <v>POR REGISTRAR</v>
      </c>
      <c r="F65" s="26" t="s">
        <v>166</v>
      </c>
      <c r="G65" s="26" t="s">
        <v>95</v>
      </c>
      <c r="H65" s="28" t="str">
        <f>IF(COUNTIFS(MOVIMIENTOS!$D$5:$D$53,#REF!)=0,"",MAXIFS(MOVIMIENTOS!$B$5:$B$53,MOVIMIENTOS!$D$5:$D$53,#REF!,MOVIMIENTOS!$C$5:$C$53,"&lt;&gt;DEVOLUCION"))</f>
        <v/>
      </c>
      <c r="I65" s="28" t="str">
        <f>IF(COUNTIFS(MOVIMIENTOS!$D$5:$D$53,#REF!,MOVIMIENTOS!$C$5:$C$53,"DEVOLUCION")=0,"",MAXIFS(MOVIMIENTOS!$B$5:$B$53,MOVIMIENTOS!$D$5:$D$53,#REF!,MOVIMIENTOS!$C$5:$C$53,"DEVOLUCION"))</f>
        <v/>
      </c>
      <c r="J65" s="27">
        <f>COUNTIFS(MOVIMIENTOS!$D$5:$D$53,#REF!,MOVIMIENTOS!$C$5:$C$53,"PERDIDA")</f>
        <v>0</v>
      </c>
      <c r="K65" s="27" t="str">
        <f t="shared" si="1"/>
        <v/>
      </c>
      <c r="L65" s="26" t="s">
        <v>96</v>
      </c>
    </row>
    <row r="66" ht="15.75" customHeight="1">
      <c r="A66" s="26" t="s">
        <v>232</v>
      </c>
      <c r="B66" s="26" t="s">
        <v>91</v>
      </c>
      <c r="C66" s="27" t="s">
        <v>92</v>
      </c>
      <c r="D66" s="26" t="s">
        <v>233</v>
      </c>
      <c r="E66" s="27" t="str">
        <f t="array" ref="E66">IFERROR(XLOOKUP(#REF!,PERSONAL!$B$5:$B$135,PERSONAL!$A$5:$A$135),"POR REGISTRAR")</f>
        <v>POR REGISTRAR</v>
      </c>
      <c r="F66" s="26" t="s">
        <v>166</v>
      </c>
      <c r="G66" s="26" t="s">
        <v>95</v>
      </c>
      <c r="H66" s="28" t="str">
        <f>IF(COUNTIFS(MOVIMIENTOS!$D$5:$D$53,#REF!)=0,"",MAXIFS(MOVIMIENTOS!$B$5:$B$53,MOVIMIENTOS!$D$5:$D$53,#REF!,MOVIMIENTOS!$C$5:$C$53,"&lt;&gt;DEVOLUCION"))</f>
        <v/>
      </c>
      <c r="I66" s="28" t="str">
        <f>IF(COUNTIFS(MOVIMIENTOS!$D$5:$D$53,#REF!,MOVIMIENTOS!$C$5:$C$53,"DEVOLUCION")=0,"",MAXIFS(MOVIMIENTOS!$B$5:$B$53,MOVIMIENTOS!$D$5:$D$53,#REF!,MOVIMIENTOS!$C$5:$C$53,"DEVOLUCION"))</f>
        <v/>
      </c>
      <c r="J66" s="27">
        <f>COUNTIFS(MOVIMIENTOS!$D$5:$D$53,#REF!,MOVIMIENTOS!$C$5:$C$53,"PERDIDA")</f>
        <v>0</v>
      </c>
      <c r="K66" s="27" t="str">
        <f t="shared" si="1"/>
        <v/>
      </c>
      <c r="L66" s="26" t="s">
        <v>96</v>
      </c>
    </row>
    <row r="67" ht="15.75" customHeight="1">
      <c r="A67" s="26" t="s">
        <v>234</v>
      </c>
      <c r="B67" s="26" t="s">
        <v>91</v>
      </c>
      <c r="C67" s="27" t="s">
        <v>92</v>
      </c>
      <c r="D67" s="26" t="s">
        <v>235</v>
      </c>
      <c r="E67" s="27" t="str">
        <f t="array" ref="E67">IFERROR(XLOOKUP(#REF!,PERSONAL!$B$5:$B$135,PERSONAL!$A$5:$A$135),"POR REGISTRAR")</f>
        <v>POR REGISTRAR</v>
      </c>
      <c r="F67" s="26" t="s">
        <v>115</v>
      </c>
      <c r="G67" s="26" t="s">
        <v>116</v>
      </c>
      <c r="H67" s="28" t="str">
        <f>IF(COUNTIFS(MOVIMIENTOS!$D$5:$D$53,#REF!)=0,"",MAXIFS(MOVIMIENTOS!$B$5:$B$53,MOVIMIENTOS!$D$5:$D$53,#REF!,MOVIMIENTOS!$C$5:$C$53,"&lt;&gt;DEVOLUCION"))</f>
        <v/>
      </c>
      <c r="I67" s="28" t="str">
        <f>IF(COUNTIFS(MOVIMIENTOS!$D$5:$D$53,#REF!,MOVIMIENTOS!$C$5:$C$53,"DEVOLUCION")=0,"",MAXIFS(MOVIMIENTOS!$B$5:$B$53,MOVIMIENTOS!$D$5:$D$53,#REF!,MOVIMIENTOS!$C$5:$C$53,"DEVOLUCION"))</f>
        <v/>
      </c>
      <c r="J67" s="27">
        <f>COUNTIFS(MOVIMIENTOS!$D$5:$D$53,#REF!,MOVIMIENTOS!$C$5:$C$53,"PERDIDA")</f>
        <v>0</v>
      </c>
      <c r="K67" s="27" t="str">
        <f t="shared" si="1"/>
        <v/>
      </c>
      <c r="L67" s="26" t="s">
        <v>236</v>
      </c>
    </row>
    <row r="68" ht="15.75" customHeight="1">
      <c r="A68" s="26" t="s">
        <v>237</v>
      </c>
      <c r="B68" s="26" t="s">
        <v>91</v>
      </c>
      <c r="C68" s="27" t="s">
        <v>92</v>
      </c>
      <c r="D68" s="26" t="s">
        <v>238</v>
      </c>
      <c r="E68" s="27" t="str">
        <f t="array" ref="E68">IFERROR(XLOOKUP(#REF!,PERSONAL!$B$5:$B$135,PERSONAL!$A$5:$A$135),"POR REGISTRAR")</f>
        <v>POR REGISTRAR</v>
      </c>
      <c r="F68" s="26" t="s">
        <v>166</v>
      </c>
      <c r="G68" s="26" t="s">
        <v>95</v>
      </c>
      <c r="H68" s="28" t="str">
        <f>IF(COUNTIFS(MOVIMIENTOS!$D$5:$D$53,#REF!)=0,"",MAXIFS(MOVIMIENTOS!$B$5:$B$53,MOVIMIENTOS!$D$5:$D$53,#REF!,MOVIMIENTOS!$C$5:$C$53,"&lt;&gt;DEVOLUCION"))</f>
        <v/>
      </c>
      <c r="I68" s="28" t="str">
        <f>IF(COUNTIFS(MOVIMIENTOS!$D$5:$D$53,#REF!,MOVIMIENTOS!$C$5:$C$53,"DEVOLUCION")=0,"",MAXIFS(MOVIMIENTOS!$B$5:$B$53,MOVIMIENTOS!$D$5:$D$53,#REF!,MOVIMIENTOS!$C$5:$C$53,"DEVOLUCION"))</f>
        <v/>
      </c>
      <c r="J68" s="27">
        <f>COUNTIFS(MOVIMIENTOS!$D$5:$D$53,#REF!,MOVIMIENTOS!$C$5:$C$53,"PERDIDA")</f>
        <v>0</v>
      </c>
      <c r="K68" s="27" t="str">
        <f t="shared" si="1"/>
        <v/>
      </c>
      <c r="L68" s="26" t="s">
        <v>96</v>
      </c>
    </row>
    <row r="69" ht="15.75" customHeight="1">
      <c r="A69" s="26" t="s">
        <v>239</v>
      </c>
      <c r="B69" s="26" t="s">
        <v>91</v>
      </c>
      <c r="C69" s="27" t="s">
        <v>92</v>
      </c>
      <c r="D69" s="26" t="s">
        <v>240</v>
      </c>
      <c r="E69" s="27" t="str">
        <f t="array" ref="E69">IFERROR(XLOOKUP(#REF!,PERSONAL!$B$5:$B$135,PERSONAL!$A$5:$A$135),"POR REGISTRAR")</f>
        <v>POR REGISTRAR</v>
      </c>
      <c r="F69" s="26" t="s">
        <v>166</v>
      </c>
      <c r="G69" s="26" t="s">
        <v>95</v>
      </c>
      <c r="H69" s="28" t="str">
        <f>IF(COUNTIFS(MOVIMIENTOS!$D$5:$D$53,#REF!)=0,"",MAXIFS(MOVIMIENTOS!$B$5:$B$53,MOVIMIENTOS!$D$5:$D$53,#REF!,MOVIMIENTOS!$C$5:$C$53,"&lt;&gt;DEVOLUCION"))</f>
        <v/>
      </c>
      <c r="I69" s="28" t="str">
        <f>IF(COUNTIFS(MOVIMIENTOS!$D$5:$D$53,#REF!,MOVIMIENTOS!$C$5:$C$53,"DEVOLUCION")=0,"",MAXIFS(MOVIMIENTOS!$B$5:$B$53,MOVIMIENTOS!$D$5:$D$53,#REF!,MOVIMIENTOS!$C$5:$C$53,"DEVOLUCION"))</f>
        <v/>
      </c>
      <c r="J69" s="27">
        <f>COUNTIFS(MOVIMIENTOS!$D$5:$D$53,#REF!,MOVIMIENTOS!$C$5:$C$53,"PERDIDA")</f>
        <v>0</v>
      </c>
      <c r="K69" s="27" t="str">
        <f t="shared" si="1"/>
        <v/>
      </c>
      <c r="L69" s="26" t="s">
        <v>96</v>
      </c>
    </row>
    <row r="70" ht="15.75" customHeight="1">
      <c r="A70" s="26" t="s">
        <v>241</v>
      </c>
      <c r="B70" s="26" t="s">
        <v>91</v>
      </c>
      <c r="C70" s="27" t="s">
        <v>92</v>
      </c>
      <c r="D70" s="26" t="s">
        <v>242</v>
      </c>
      <c r="E70" s="27" t="str">
        <f t="array" ref="E70">IFERROR(XLOOKUP(#REF!,PERSONAL!$B$5:$B$135,PERSONAL!$A$5:$A$135),"POR REGISTRAR")</f>
        <v>POR REGISTRAR</v>
      </c>
      <c r="F70" s="26" t="s">
        <v>166</v>
      </c>
      <c r="G70" s="26" t="s">
        <v>95</v>
      </c>
      <c r="H70" s="28" t="str">
        <f>IF(COUNTIFS(MOVIMIENTOS!$D$5:$D$53,#REF!)=0,"",MAXIFS(MOVIMIENTOS!$B$5:$B$53,MOVIMIENTOS!$D$5:$D$53,#REF!,MOVIMIENTOS!$C$5:$C$53,"&lt;&gt;DEVOLUCION"))</f>
        <v/>
      </c>
      <c r="I70" s="28" t="str">
        <f>IF(COUNTIFS(MOVIMIENTOS!$D$5:$D$53,#REF!,MOVIMIENTOS!$C$5:$C$53,"DEVOLUCION")=0,"",MAXIFS(MOVIMIENTOS!$B$5:$B$53,MOVIMIENTOS!$D$5:$D$53,#REF!,MOVIMIENTOS!$C$5:$C$53,"DEVOLUCION"))</f>
        <v/>
      </c>
      <c r="J70" s="27">
        <f>COUNTIFS(MOVIMIENTOS!$D$5:$D$53,#REF!,MOVIMIENTOS!$C$5:$C$53,"PERDIDA")</f>
        <v>0</v>
      </c>
      <c r="K70" s="27" t="str">
        <f t="shared" si="1"/>
        <v/>
      </c>
      <c r="L70" s="26" t="s">
        <v>96</v>
      </c>
    </row>
    <row r="71" ht="15.75" customHeight="1">
      <c r="A71" s="26" t="s">
        <v>243</v>
      </c>
      <c r="B71" s="26" t="s">
        <v>91</v>
      </c>
      <c r="C71" s="27" t="s">
        <v>104</v>
      </c>
      <c r="D71" s="26" t="s">
        <v>244</v>
      </c>
      <c r="E71" s="27" t="str">
        <f t="array" ref="E71">IFERROR(XLOOKUP(#REF!,PERSONAL!$B$5:$B$135,PERSONAL!$A$5:$A$135),"POR REGISTRAR")</f>
        <v>POR REGISTRAR</v>
      </c>
      <c r="F71" s="26" t="s">
        <v>96</v>
      </c>
      <c r="G71" s="26" t="s">
        <v>198</v>
      </c>
      <c r="H71" s="28" t="str">
        <f>IF(COUNTIFS(MOVIMIENTOS!$D$5:$D$53,#REF!)=0,"",MAXIFS(MOVIMIENTOS!$B$5:$B$53,MOVIMIENTOS!$D$5:$D$53,#REF!,MOVIMIENTOS!$C$5:$C$53,"&lt;&gt;DEVOLUCION"))</f>
        <v/>
      </c>
      <c r="I71" s="28" t="str">
        <f>IF(COUNTIFS(MOVIMIENTOS!$D$5:$D$53,#REF!,MOVIMIENTOS!$C$5:$C$53,"DEVOLUCION")=0,"",MAXIFS(MOVIMIENTOS!$B$5:$B$53,MOVIMIENTOS!$D$5:$D$53,#REF!,MOVIMIENTOS!$C$5:$C$53,"DEVOLUCION"))</f>
        <v/>
      </c>
      <c r="J71" s="27">
        <f>COUNTIFS(MOVIMIENTOS!$D$5:$D$53,#REF!,MOVIMIENTOS!$C$5:$C$53,"PERDIDA")</f>
        <v>0</v>
      </c>
      <c r="K71" s="27" t="str">
        <f t="shared" si="1"/>
        <v/>
      </c>
      <c r="L71" s="26" t="s">
        <v>96</v>
      </c>
    </row>
    <row r="72" ht="15.75" customHeight="1">
      <c r="A72" s="26" t="s">
        <v>245</v>
      </c>
      <c r="B72" s="26" t="s">
        <v>91</v>
      </c>
      <c r="C72" s="27" t="s">
        <v>104</v>
      </c>
      <c r="D72" s="26" t="s">
        <v>244</v>
      </c>
      <c r="E72" s="27" t="str">
        <f t="array" ref="E72">IFERROR(XLOOKUP(#REF!,PERSONAL!$B$5:$B$135,PERSONAL!$A$5:$A$135),"POR REGISTRAR")</f>
        <v>POR REGISTRAR</v>
      </c>
      <c r="F72" s="26" t="s">
        <v>96</v>
      </c>
      <c r="G72" s="26" t="s">
        <v>198</v>
      </c>
      <c r="H72" s="28" t="str">
        <f>IF(COUNTIFS(MOVIMIENTOS!$D$5:$D$53,#REF!)=0,"",MAXIFS(MOVIMIENTOS!$B$5:$B$53,MOVIMIENTOS!$D$5:$D$53,#REF!,MOVIMIENTOS!$C$5:$C$53,"&lt;&gt;DEVOLUCION"))</f>
        <v/>
      </c>
      <c r="I72" s="28" t="str">
        <f>IF(COUNTIFS(MOVIMIENTOS!$D$5:$D$53,#REF!,MOVIMIENTOS!$C$5:$C$53,"DEVOLUCION")=0,"",MAXIFS(MOVIMIENTOS!$B$5:$B$53,MOVIMIENTOS!$D$5:$D$53,#REF!,MOVIMIENTOS!$C$5:$C$53,"DEVOLUCION"))</f>
        <v/>
      </c>
      <c r="J72" s="27">
        <f>COUNTIFS(MOVIMIENTOS!$D$5:$D$53,#REF!,MOVIMIENTOS!$C$5:$C$53,"PERDIDA")</f>
        <v>0</v>
      </c>
      <c r="K72" s="27" t="str">
        <f t="shared" si="1"/>
        <v/>
      </c>
      <c r="L72" s="26" t="s">
        <v>96</v>
      </c>
    </row>
    <row r="73" ht="15.75" customHeight="1">
      <c r="A73" s="26" t="s">
        <v>246</v>
      </c>
      <c r="B73" s="26" t="s">
        <v>91</v>
      </c>
      <c r="C73" s="27" t="s">
        <v>104</v>
      </c>
      <c r="D73" s="26" t="s">
        <v>244</v>
      </c>
      <c r="E73" s="27" t="str">
        <f t="array" ref="E73">IFERROR(XLOOKUP(#REF!,PERSONAL!$B$5:$B$135,PERSONAL!$A$5:$A$135),"POR REGISTRAR")</f>
        <v>POR REGISTRAR</v>
      </c>
      <c r="F73" s="26" t="s">
        <v>96</v>
      </c>
      <c r="G73" s="26" t="s">
        <v>198</v>
      </c>
      <c r="H73" s="28" t="str">
        <f>IF(COUNTIFS(MOVIMIENTOS!$D$5:$D$53,#REF!)=0,"",MAXIFS(MOVIMIENTOS!$B$5:$B$53,MOVIMIENTOS!$D$5:$D$53,#REF!,MOVIMIENTOS!$C$5:$C$53,"&lt;&gt;DEVOLUCION"))</f>
        <v/>
      </c>
      <c r="I73" s="28" t="str">
        <f>IF(COUNTIFS(MOVIMIENTOS!$D$5:$D$53,#REF!,MOVIMIENTOS!$C$5:$C$53,"DEVOLUCION")=0,"",MAXIFS(MOVIMIENTOS!$B$5:$B$53,MOVIMIENTOS!$D$5:$D$53,#REF!,MOVIMIENTOS!$C$5:$C$53,"DEVOLUCION"))</f>
        <v/>
      </c>
      <c r="J73" s="27">
        <f>COUNTIFS(MOVIMIENTOS!$D$5:$D$53,#REF!,MOVIMIENTOS!$C$5:$C$53,"PERDIDA")</f>
        <v>0</v>
      </c>
      <c r="K73" s="27" t="str">
        <f t="shared" si="1"/>
        <v/>
      </c>
      <c r="L73" s="26" t="s">
        <v>96</v>
      </c>
    </row>
    <row r="74" ht="15.75" customHeight="1">
      <c r="A74" s="26" t="s">
        <v>247</v>
      </c>
      <c r="B74" s="26" t="s">
        <v>91</v>
      </c>
      <c r="C74" s="30" t="s">
        <v>104</v>
      </c>
      <c r="D74" s="26" t="s">
        <v>248</v>
      </c>
      <c r="E74" s="27" t="str">
        <f t="array" ref="E74">IFERROR(XLOOKUP(#REF!,PERSONAL!$B$5:$B$135,PERSONAL!$A$5:$A$135),"POR REGISTRAR")</f>
        <v>POR REGISTRAR</v>
      </c>
      <c r="F74" s="26" t="s">
        <v>96</v>
      </c>
      <c r="G74" s="26" t="s">
        <v>198</v>
      </c>
      <c r="H74" s="28" t="str">
        <f>IF(COUNTIFS(MOVIMIENTOS!$D$5:$D$53,#REF!)=0,"",MAXIFS(MOVIMIENTOS!$B$5:$B$53,MOVIMIENTOS!$D$5:$D$53,#REF!,MOVIMIENTOS!$C$5:$C$53,"&lt;&gt;DEVOLUCION"))</f>
        <v/>
      </c>
      <c r="I74" s="28" t="str">
        <f>IF(COUNTIFS(MOVIMIENTOS!$D$5:$D$53,#REF!,MOVIMIENTOS!$C$5:$C$53,"DEVOLUCION")=0,"",MAXIFS(MOVIMIENTOS!$B$5:$B$53,MOVIMIENTOS!$D$5:$D$53,#REF!,MOVIMIENTOS!$C$5:$C$53,"DEVOLUCION"))</f>
        <v/>
      </c>
      <c r="J74" s="27">
        <f>COUNTIFS(MOVIMIENTOS!$D$5:$D$53,#REF!,MOVIMIENTOS!$C$5:$C$53,"PERDIDA")</f>
        <v>0</v>
      </c>
      <c r="K74" s="27" t="str">
        <f t="shared" si="1"/>
        <v/>
      </c>
      <c r="L74" s="31" t="s">
        <v>163</v>
      </c>
    </row>
    <row r="75" ht="15.75" customHeight="1">
      <c r="A75" s="26" t="s">
        <v>249</v>
      </c>
      <c r="B75" s="26" t="s">
        <v>91</v>
      </c>
      <c r="C75" s="30" t="s">
        <v>104</v>
      </c>
      <c r="D75" s="26" t="s">
        <v>250</v>
      </c>
      <c r="E75" s="27" t="str">
        <f t="array" ref="E75">IFERROR(XLOOKUP(#REF!,PERSONAL!$B$5:$B$135,PERSONAL!$A$5:$A$135),"POR REGISTRAR")</f>
        <v>POR REGISTRAR</v>
      </c>
      <c r="F75" s="26" t="s">
        <v>96</v>
      </c>
      <c r="G75" s="26" t="s">
        <v>198</v>
      </c>
      <c r="H75" s="28" t="str">
        <f>IF(COUNTIFS(MOVIMIENTOS!$D$5:$D$53,#REF!)=0,"",MAXIFS(MOVIMIENTOS!$B$5:$B$53,MOVIMIENTOS!$D$5:$D$53,#REF!,MOVIMIENTOS!$C$5:$C$53,"&lt;&gt;DEVOLUCION"))</f>
        <v/>
      </c>
      <c r="I75" s="28" t="str">
        <f>IF(COUNTIFS(MOVIMIENTOS!$D$5:$D$53,#REF!,MOVIMIENTOS!$C$5:$C$53,"DEVOLUCION")=0,"",MAXIFS(MOVIMIENTOS!$B$5:$B$53,MOVIMIENTOS!$D$5:$D$53,#REF!,MOVIMIENTOS!$C$5:$C$53,"DEVOLUCION"))</f>
        <v/>
      </c>
      <c r="J75" s="27">
        <f>COUNTIFS(MOVIMIENTOS!$D$5:$D$53,#REF!,MOVIMIENTOS!$C$5:$C$53,"PERDIDA")</f>
        <v>0</v>
      </c>
      <c r="K75" s="27" t="str">
        <f t="shared" si="1"/>
        <v/>
      </c>
      <c r="L75" s="31" t="s">
        <v>163</v>
      </c>
    </row>
    <row r="76" ht="15.75" customHeight="1">
      <c r="A76" s="26" t="s">
        <v>251</v>
      </c>
      <c r="B76" s="26" t="s">
        <v>91</v>
      </c>
      <c r="C76" s="27" t="s">
        <v>104</v>
      </c>
      <c r="D76" s="26" t="s">
        <v>244</v>
      </c>
      <c r="E76" s="27" t="str">
        <f t="array" ref="E76">IFERROR(XLOOKUP(#REF!,PERSONAL!$B$5:$B$135,PERSONAL!$A$5:$A$135),"POR REGISTRAR")</f>
        <v>POR REGISTRAR</v>
      </c>
      <c r="F76" s="26" t="s">
        <v>96</v>
      </c>
      <c r="G76" s="26" t="s">
        <v>198</v>
      </c>
      <c r="H76" s="28" t="str">
        <f>IF(COUNTIFS(MOVIMIENTOS!$D$5:$D$53,#REF!)=0,"",MAXIFS(MOVIMIENTOS!$B$5:$B$53,MOVIMIENTOS!$D$5:$D$53,#REF!,MOVIMIENTOS!$C$5:$C$53,"&lt;&gt;DEVOLUCION"))</f>
        <v/>
      </c>
      <c r="I76" s="28" t="str">
        <f>IF(COUNTIFS(MOVIMIENTOS!$D$5:$D$53,#REF!,MOVIMIENTOS!$C$5:$C$53,"DEVOLUCION")=0,"",MAXIFS(MOVIMIENTOS!$B$5:$B$53,MOVIMIENTOS!$D$5:$D$53,#REF!,MOVIMIENTOS!$C$5:$C$53,"DEVOLUCION"))</f>
        <v/>
      </c>
      <c r="J76" s="27">
        <f>COUNTIFS(MOVIMIENTOS!$D$5:$D$53,#REF!,MOVIMIENTOS!$C$5:$C$53,"PERDIDA")</f>
        <v>0</v>
      </c>
      <c r="K76" s="27" t="str">
        <f t="shared" si="1"/>
        <v/>
      </c>
      <c r="L76" s="26" t="s">
        <v>96</v>
      </c>
    </row>
    <row r="77" ht="15.75" customHeight="1">
      <c r="A77" s="26" t="s">
        <v>252</v>
      </c>
      <c r="B77" s="26" t="s">
        <v>91</v>
      </c>
      <c r="C77" s="27" t="s">
        <v>104</v>
      </c>
      <c r="D77" s="26" t="s">
        <v>244</v>
      </c>
      <c r="E77" s="27" t="str">
        <f t="array" ref="E77">IFERROR(XLOOKUP(#REF!,PERSONAL!$B$5:$B$135,PERSONAL!$A$5:$A$135),"POR REGISTRAR")</f>
        <v>POR REGISTRAR</v>
      </c>
      <c r="F77" s="26" t="s">
        <v>96</v>
      </c>
      <c r="G77" s="26" t="s">
        <v>198</v>
      </c>
      <c r="H77" s="28" t="str">
        <f>IF(COUNTIFS(MOVIMIENTOS!$D$5:$D$53,#REF!)=0,"",MAXIFS(MOVIMIENTOS!$B$5:$B$53,MOVIMIENTOS!$D$5:$D$53,#REF!,MOVIMIENTOS!$C$5:$C$53,"&lt;&gt;DEVOLUCION"))</f>
        <v/>
      </c>
      <c r="I77" s="28" t="str">
        <f>IF(COUNTIFS(MOVIMIENTOS!$D$5:$D$53,#REF!,MOVIMIENTOS!$C$5:$C$53,"DEVOLUCION")=0,"",MAXIFS(MOVIMIENTOS!$B$5:$B$53,MOVIMIENTOS!$D$5:$D$53,#REF!,MOVIMIENTOS!$C$5:$C$53,"DEVOLUCION"))</f>
        <v/>
      </c>
      <c r="J77" s="27">
        <f>COUNTIFS(MOVIMIENTOS!$D$5:$D$53,#REF!,MOVIMIENTOS!$C$5:$C$53,"PERDIDA")</f>
        <v>0</v>
      </c>
      <c r="K77" s="27" t="str">
        <f t="shared" si="1"/>
        <v/>
      </c>
      <c r="L77" s="26" t="s">
        <v>96</v>
      </c>
    </row>
    <row r="78" ht="15.75" customHeight="1">
      <c r="A78" s="26" t="s">
        <v>253</v>
      </c>
      <c r="B78" s="26" t="s">
        <v>91</v>
      </c>
      <c r="C78" s="27" t="s">
        <v>104</v>
      </c>
      <c r="D78" s="26" t="s">
        <v>244</v>
      </c>
      <c r="E78" s="27" t="str">
        <f t="array" ref="E78">IFERROR(XLOOKUP(#REF!,PERSONAL!$B$5:$B$135,PERSONAL!$A$5:$A$135),"POR REGISTRAR")</f>
        <v>POR REGISTRAR</v>
      </c>
      <c r="F78" s="26" t="s">
        <v>96</v>
      </c>
      <c r="G78" s="26" t="s">
        <v>198</v>
      </c>
      <c r="H78" s="28" t="str">
        <f>IF(COUNTIFS(MOVIMIENTOS!$D$5:$D$53,#REF!)=0,"",MAXIFS(MOVIMIENTOS!$B$5:$B$53,MOVIMIENTOS!$D$5:$D$53,#REF!,MOVIMIENTOS!$C$5:$C$53,"&lt;&gt;DEVOLUCION"))</f>
        <v/>
      </c>
      <c r="I78" s="28" t="str">
        <f>IF(COUNTIFS(MOVIMIENTOS!$D$5:$D$53,#REF!,MOVIMIENTOS!$C$5:$C$53,"DEVOLUCION")=0,"",MAXIFS(MOVIMIENTOS!$B$5:$B$53,MOVIMIENTOS!$D$5:$D$53,#REF!,MOVIMIENTOS!$C$5:$C$53,"DEVOLUCION"))</f>
        <v/>
      </c>
      <c r="J78" s="27">
        <f>COUNTIFS(MOVIMIENTOS!$D$5:$D$53,#REF!,MOVIMIENTOS!$C$5:$C$53,"PERDIDA")</f>
        <v>0</v>
      </c>
      <c r="K78" s="27" t="str">
        <f t="shared" si="1"/>
        <v/>
      </c>
      <c r="L78" s="26" t="s">
        <v>96</v>
      </c>
    </row>
    <row r="79" ht="15.75" customHeight="1">
      <c r="A79" s="26" t="s">
        <v>254</v>
      </c>
      <c r="B79" s="26" t="s">
        <v>91</v>
      </c>
      <c r="C79" s="27" t="s">
        <v>104</v>
      </c>
      <c r="D79" s="26" t="s">
        <v>244</v>
      </c>
      <c r="E79" s="27" t="str">
        <f t="array" ref="E79">IFERROR(XLOOKUP(#REF!,PERSONAL!$B$5:$B$135,PERSONAL!$A$5:$A$135),"POR REGISTRAR")</f>
        <v>POR REGISTRAR</v>
      </c>
      <c r="F79" s="26" t="s">
        <v>96</v>
      </c>
      <c r="G79" s="26" t="s">
        <v>198</v>
      </c>
      <c r="H79" s="28" t="str">
        <f>IF(COUNTIFS(MOVIMIENTOS!$D$5:$D$53,#REF!)=0,"",MAXIFS(MOVIMIENTOS!$B$5:$B$53,MOVIMIENTOS!$D$5:$D$53,#REF!,MOVIMIENTOS!$C$5:$C$53,"&lt;&gt;DEVOLUCION"))</f>
        <v/>
      </c>
      <c r="I79" s="28" t="str">
        <f>IF(COUNTIFS(MOVIMIENTOS!$D$5:$D$53,#REF!,MOVIMIENTOS!$C$5:$C$53,"DEVOLUCION")=0,"",MAXIFS(MOVIMIENTOS!$B$5:$B$53,MOVIMIENTOS!$D$5:$D$53,#REF!,MOVIMIENTOS!$C$5:$C$53,"DEVOLUCION"))</f>
        <v/>
      </c>
      <c r="J79" s="27">
        <f>COUNTIFS(MOVIMIENTOS!$D$5:$D$53,#REF!,MOVIMIENTOS!$C$5:$C$53,"PERDIDA")</f>
        <v>0</v>
      </c>
      <c r="K79" s="27" t="str">
        <f t="shared" si="1"/>
        <v/>
      </c>
      <c r="L79" s="26" t="s">
        <v>96</v>
      </c>
    </row>
    <row r="80" ht="15.75" customHeight="1">
      <c r="A80" s="26" t="s">
        <v>255</v>
      </c>
      <c r="B80" s="26" t="s">
        <v>91</v>
      </c>
      <c r="C80" s="27" t="s">
        <v>104</v>
      </c>
      <c r="D80" s="26" t="s">
        <v>244</v>
      </c>
      <c r="E80" s="27" t="str">
        <f t="array" ref="E80">IFERROR(XLOOKUP(#REF!,PERSONAL!$B$5:$B$135,PERSONAL!$A$5:$A$135),"POR REGISTRAR")</f>
        <v>POR REGISTRAR</v>
      </c>
      <c r="F80" s="26" t="s">
        <v>96</v>
      </c>
      <c r="G80" s="26" t="s">
        <v>198</v>
      </c>
      <c r="H80" s="28" t="str">
        <f>IF(COUNTIFS(MOVIMIENTOS!$D$5:$D$53,#REF!)=0,"",MAXIFS(MOVIMIENTOS!$B$5:$B$53,MOVIMIENTOS!$D$5:$D$53,#REF!,MOVIMIENTOS!$C$5:$C$53,"&lt;&gt;DEVOLUCION"))</f>
        <v/>
      </c>
      <c r="I80" s="28" t="str">
        <f>IF(COUNTIFS(MOVIMIENTOS!$D$5:$D$53,#REF!,MOVIMIENTOS!$C$5:$C$53,"DEVOLUCION")=0,"",MAXIFS(MOVIMIENTOS!$B$5:$B$53,MOVIMIENTOS!$D$5:$D$53,#REF!,MOVIMIENTOS!$C$5:$C$53,"DEVOLUCION"))</f>
        <v/>
      </c>
      <c r="J80" s="27">
        <f>COUNTIFS(MOVIMIENTOS!$D$5:$D$53,#REF!,MOVIMIENTOS!$C$5:$C$53,"PERDIDA")</f>
        <v>0</v>
      </c>
      <c r="K80" s="27" t="str">
        <f t="shared" si="1"/>
        <v/>
      </c>
      <c r="L80" s="26" t="s">
        <v>96</v>
      </c>
    </row>
    <row r="81" ht="15.75" customHeight="1">
      <c r="A81" s="26" t="s">
        <v>256</v>
      </c>
      <c r="B81" s="26" t="s">
        <v>257</v>
      </c>
      <c r="C81" s="27" t="s">
        <v>92</v>
      </c>
      <c r="D81" s="26" t="s">
        <v>69</v>
      </c>
      <c r="E81" s="27" t="str">
        <f t="array" ref="E81">IFERROR(XLOOKUP(#REF!,PERSONAL!$B$5:$B$135,PERSONAL!$A$5:$A$135),"POR REGISTRAR")</f>
        <v>POR REGISTRAR</v>
      </c>
      <c r="F81" s="26" t="s">
        <v>69</v>
      </c>
      <c r="G81" s="26" t="s">
        <v>198</v>
      </c>
      <c r="H81" s="28" t="str">
        <f>IF(COUNTIFS(MOVIMIENTOS!$D$5:$D$53,#REF!)=0,"",MAXIFS(MOVIMIENTOS!$B$5:$B$53,MOVIMIENTOS!$D$5:$D$53,#REF!,MOVIMIENTOS!$C$5:$C$53,"&lt;&gt;DEVOLUCION"))</f>
        <v/>
      </c>
      <c r="I81" s="28" t="str">
        <f>IF(COUNTIFS(MOVIMIENTOS!$D$5:$D$53,#REF!,MOVIMIENTOS!$C$5:$C$53,"DEVOLUCION")=0,"",MAXIFS(MOVIMIENTOS!$B$5:$B$53,MOVIMIENTOS!$D$5:$D$53,#REF!,MOVIMIENTOS!$C$5:$C$53,"DEVOLUCION"))</f>
        <v/>
      </c>
      <c r="J81" s="27">
        <f>COUNTIFS(MOVIMIENTOS!$D$5:$D$53,#REF!,MOVIMIENTOS!$C$5:$C$53,"PERDIDA")</f>
        <v>0</v>
      </c>
      <c r="K81" s="27" t="str">
        <f t="shared" si="1"/>
        <v/>
      </c>
      <c r="L81" s="26" t="s">
        <v>96</v>
      </c>
    </row>
    <row r="82" ht="15.75" customHeight="1">
      <c r="A82" s="26" t="s">
        <v>258</v>
      </c>
      <c r="B82" s="26" t="s">
        <v>257</v>
      </c>
      <c r="C82" s="27" t="s">
        <v>29</v>
      </c>
      <c r="D82" s="26" t="s">
        <v>259</v>
      </c>
      <c r="E82" s="27" t="str">
        <f t="array" ref="E82">IFERROR(XLOOKUP(#REF!,PERSONAL!$B$5:$B$135,PERSONAL!$A$5:$A$135),"POR REGISTRAR")</f>
        <v>POR REGISTRAR</v>
      </c>
      <c r="F82" s="26" t="s">
        <v>260</v>
      </c>
      <c r="G82" s="26" t="s">
        <v>198</v>
      </c>
      <c r="H82" s="28" t="str">
        <f>IF(COUNTIFS(MOVIMIENTOS!$D$5:$D$53,#REF!)=0,"",MAXIFS(MOVIMIENTOS!$B$5:$B$53,MOVIMIENTOS!$D$5:$D$53,#REF!,MOVIMIENTOS!$C$5:$C$53,"&lt;&gt;DEVOLUCION"))</f>
        <v/>
      </c>
      <c r="I82" s="28" t="str">
        <f>IF(COUNTIFS(MOVIMIENTOS!$D$5:$D$53,#REF!,MOVIMIENTOS!$C$5:$C$53,"DEVOLUCION")=0,"",MAXIFS(MOVIMIENTOS!$B$5:$B$53,MOVIMIENTOS!$D$5:$D$53,#REF!,MOVIMIENTOS!$C$5:$C$53,"DEVOLUCION"))</f>
        <v/>
      </c>
      <c r="J82" s="27">
        <f>COUNTIFS(MOVIMIENTOS!$D$5:$D$53,#REF!,MOVIMIENTOS!$C$5:$C$53,"PERDIDA")</f>
        <v>0</v>
      </c>
      <c r="K82" s="27" t="str">
        <f t="shared" si="1"/>
        <v/>
      </c>
      <c r="L82" s="26" t="s">
        <v>261</v>
      </c>
    </row>
    <row r="83" ht="15.75" customHeight="1">
      <c r="A83" s="26" t="s">
        <v>262</v>
      </c>
      <c r="B83" s="26" t="s">
        <v>257</v>
      </c>
      <c r="C83" s="27" t="s">
        <v>29</v>
      </c>
      <c r="D83" s="26" t="s">
        <v>263</v>
      </c>
      <c r="E83" s="27" t="str">
        <f t="array" ref="E83">IFERROR(XLOOKUP(#REF!,PERSONAL!$B$5:$B$135,PERSONAL!$A$5:$A$135),"POR REGISTRAR")</f>
        <v>POR REGISTRAR</v>
      </c>
      <c r="F83" s="26" t="s">
        <v>260</v>
      </c>
      <c r="G83" s="26" t="s">
        <v>198</v>
      </c>
      <c r="H83" s="28" t="str">
        <f>IF(COUNTIFS(MOVIMIENTOS!$D$5:$D$53,#REF!)=0,"",MAXIFS(MOVIMIENTOS!$B$5:$B$53,MOVIMIENTOS!$D$5:$D$53,#REF!,MOVIMIENTOS!$C$5:$C$53,"&lt;&gt;DEVOLUCION"))</f>
        <v/>
      </c>
      <c r="I83" s="28" t="str">
        <f>IF(COUNTIFS(MOVIMIENTOS!$D$5:$D$53,#REF!,MOVIMIENTOS!$C$5:$C$53,"DEVOLUCION")=0,"",MAXIFS(MOVIMIENTOS!$B$5:$B$53,MOVIMIENTOS!$D$5:$D$53,#REF!,MOVIMIENTOS!$C$5:$C$53,"DEVOLUCION"))</f>
        <v/>
      </c>
      <c r="J83" s="27">
        <f>COUNTIFS(MOVIMIENTOS!$D$5:$D$53,#REF!,MOVIMIENTOS!$C$5:$C$53,"PERDIDA")</f>
        <v>0</v>
      </c>
      <c r="K83" s="27" t="str">
        <f t="shared" si="1"/>
        <v/>
      </c>
      <c r="L83" s="26" t="s">
        <v>261</v>
      </c>
    </row>
    <row r="84" ht="15.75" customHeight="1">
      <c r="A84" s="26" t="s">
        <v>264</v>
      </c>
      <c r="B84" s="26" t="s">
        <v>257</v>
      </c>
      <c r="C84" s="27" t="s">
        <v>92</v>
      </c>
      <c r="D84" s="26" t="s">
        <v>265</v>
      </c>
      <c r="E84" s="27" t="str">
        <f t="array" ref="E84">IFERROR(XLOOKUP(#REF!,PERSONAL!$B$5:$B$135,PERSONAL!$A$5:$A$135),"POR REGISTRAR")</f>
        <v>POR REGISTRAR</v>
      </c>
      <c r="F84" s="26" t="s">
        <v>260</v>
      </c>
      <c r="G84" s="26" t="s">
        <v>198</v>
      </c>
      <c r="H84" s="28" t="str">
        <f>IF(COUNTIFS(MOVIMIENTOS!$D$5:$D$53,#REF!)=0,"",MAXIFS(MOVIMIENTOS!$B$5:$B$53,MOVIMIENTOS!$D$5:$D$53,#REF!,MOVIMIENTOS!$C$5:$C$53,"&lt;&gt;DEVOLUCION"))</f>
        <v/>
      </c>
      <c r="I84" s="28" t="str">
        <f>IF(COUNTIFS(MOVIMIENTOS!$D$5:$D$53,#REF!,MOVIMIENTOS!$C$5:$C$53,"DEVOLUCION")=0,"",MAXIFS(MOVIMIENTOS!$B$5:$B$53,MOVIMIENTOS!$D$5:$D$53,#REF!,MOVIMIENTOS!$C$5:$C$53,"DEVOLUCION"))</f>
        <v/>
      </c>
      <c r="J84" s="27">
        <f>COUNTIFS(MOVIMIENTOS!$D$5:$D$53,#REF!,MOVIMIENTOS!$C$5:$C$53,"PERDIDA")</f>
        <v>0</v>
      </c>
      <c r="K84" s="27" t="str">
        <f t="shared" si="1"/>
        <v/>
      </c>
      <c r="L84" s="26" t="s">
        <v>96</v>
      </c>
    </row>
    <row r="85" ht="15.75" customHeight="1">
      <c r="A85" s="26" t="s">
        <v>266</v>
      </c>
      <c r="B85" s="26" t="s">
        <v>257</v>
      </c>
      <c r="C85" s="27" t="s">
        <v>29</v>
      </c>
      <c r="D85" s="26" t="s">
        <v>267</v>
      </c>
      <c r="E85" s="27" t="str">
        <f t="array" ref="E85">IFERROR(XLOOKUP(#REF!,PERSONAL!$B$5:$B$135,PERSONAL!$A$5:$A$135),"POR REGISTRAR")</f>
        <v>POR REGISTRAR</v>
      </c>
      <c r="F85" s="26" t="s">
        <v>260</v>
      </c>
      <c r="G85" s="26" t="s">
        <v>198</v>
      </c>
      <c r="H85" s="28" t="str">
        <f>IF(COUNTIFS(MOVIMIENTOS!$D$5:$D$53,#REF!)=0,"",MAXIFS(MOVIMIENTOS!$B$5:$B$53,MOVIMIENTOS!$D$5:$D$53,#REF!,MOVIMIENTOS!$C$5:$C$53,"&lt;&gt;DEVOLUCION"))</f>
        <v/>
      </c>
      <c r="I85" s="28" t="str">
        <f>IF(COUNTIFS(MOVIMIENTOS!$D$5:$D$53,#REF!,MOVIMIENTOS!$C$5:$C$53,"DEVOLUCION")=0,"",MAXIFS(MOVIMIENTOS!$B$5:$B$53,MOVIMIENTOS!$D$5:$D$53,#REF!,MOVIMIENTOS!$C$5:$C$53,"DEVOLUCION"))</f>
        <v/>
      </c>
      <c r="J85" s="27">
        <f>COUNTIFS(MOVIMIENTOS!$D$5:$D$53,#REF!,MOVIMIENTOS!$C$5:$C$53,"PERDIDA")</f>
        <v>0</v>
      </c>
      <c r="K85" s="27" t="str">
        <f t="shared" si="1"/>
        <v/>
      </c>
      <c r="L85" s="26" t="s">
        <v>261</v>
      </c>
    </row>
    <row r="86" ht="15.75" customHeight="1">
      <c r="A86" s="26" t="s">
        <v>268</v>
      </c>
      <c r="B86" s="26" t="s">
        <v>257</v>
      </c>
      <c r="C86" s="27" t="s">
        <v>29</v>
      </c>
      <c r="D86" s="26" t="s">
        <v>269</v>
      </c>
      <c r="E86" s="27" t="str">
        <f t="array" ref="E86">IFERROR(XLOOKUP(#REF!,PERSONAL!$B$5:$B$135,PERSONAL!$A$5:$A$135),"POR REGISTRAR")</f>
        <v>POR REGISTRAR</v>
      </c>
      <c r="F86" s="26" t="s">
        <v>260</v>
      </c>
      <c r="G86" s="26" t="s">
        <v>198</v>
      </c>
      <c r="H86" s="28" t="str">
        <f>IF(COUNTIFS(MOVIMIENTOS!$D$5:$D$53,#REF!)=0,"",MAXIFS(MOVIMIENTOS!$B$5:$B$53,MOVIMIENTOS!$D$5:$D$53,#REF!,MOVIMIENTOS!$C$5:$C$53,"&lt;&gt;DEVOLUCION"))</f>
        <v/>
      </c>
      <c r="I86" s="28" t="str">
        <f>IF(COUNTIFS(MOVIMIENTOS!$D$5:$D$53,#REF!,MOVIMIENTOS!$C$5:$C$53,"DEVOLUCION")=0,"",MAXIFS(MOVIMIENTOS!$B$5:$B$53,MOVIMIENTOS!$D$5:$D$53,#REF!,MOVIMIENTOS!$C$5:$C$53,"DEVOLUCION"))</f>
        <v/>
      </c>
      <c r="J86" s="27">
        <f>COUNTIFS(MOVIMIENTOS!$D$5:$D$53,#REF!,MOVIMIENTOS!$C$5:$C$53,"PERDIDA")</f>
        <v>0</v>
      </c>
      <c r="K86" s="27" t="str">
        <f t="shared" si="1"/>
        <v/>
      </c>
      <c r="L86" s="26" t="s">
        <v>261</v>
      </c>
    </row>
    <row r="87" ht="15.75" customHeight="1">
      <c r="A87" s="26" t="s">
        <v>270</v>
      </c>
      <c r="B87" s="26" t="s">
        <v>257</v>
      </c>
      <c r="C87" s="27" t="s">
        <v>29</v>
      </c>
      <c r="D87" s="26" t="s">
        <v>271</v>
      </c>
      <c r="E87" s="27" t="str">
        <f t="array" ref="E87">IFERROR(XLOOKUP(#REF!,PERSONAL!$B$5:$B$135,PERSONAL!$A$5:$A$135),"POR REGISTRAR")</f>
        <v>POR REGISTRAR</v>
      </c>
      <c r="F87" s="26" t="s">
        <v>217</v>
      </c>
      <c r="G87" s="26" t="s">
        <v>198</v>
      </c>
      <c r="H87" s="28" t="str">
        <f>IF(COUNTIFS(MOVIMIENTOS!$D$5:$D$53,#REF!)=0,"",MAXIFS(MOVIMIENTOS!$B$5:$B$53,MOVIMIENTOS!$D$5:$D$53,#REF!,MOVIMIENTOS!$C$5:$C$53,"&lt;&gt;DEVOLUCION"))</f>
        <v/>
      </c>
      <c r="I87" s="28" t="str">
        <f>IF(COUNTIFS(MOVIMIENTOS!$D$5:$D$53,#REF!,MOVIMIENTOS!$C$5:$C$53,"DEVOLUCION")=0,"",MAXIFS(MOVIMIENTOS!$B$5:$B$53,MOVIMIENTOS!$D$5:$D$53,#REF!,MOVIMIENTOS!$C$5:$C$53,"DEVOLUCION"))</f>
        <v/>
      </c>
      <c r="J87" s="27">
        <f>COUNTIFS(MOVIMIENTOS!$D$5:$D$53,#REF!,MOVIMIENTOS!$C$5:$C$53,"PERDIDA")</f>
        <v>0</v>
      </c>
      <c r="K87" s="27" t="str">
        <f t="shared" si="1"/>
        <v/>
      </c>
      <c r="L87" s="26" t="s">
        <v>261</v>
      </c>
    </row>
    <row r="88" ht="15.75" customHeight="1">
      <c r="A88" s="26" t="s">
        <v>272</v>
      </c>
      <c r="B88" s="26" t="s">
        <v>257</v>
      </c>
      <c r="C88" s="27" t="s">
        <v>29</v>
      </c>
      <c r="D88" s="26" t="s">
        <v>217</v>
      </c>
      <c r="E88" s="27" t="str">
        <f t="array" ref="E88">IFERROR(XLOOKUP(#REF!,PERSONAL!$B$5:$B$135,PERSONAL!$A$5:$A$135),"POR REGISTRAR")</f>
        <v>POR REGISTRAR</v>
      </c>
      <c r="F88" s="26" t="s">
        <v>217</v>
      </c>
      <c r="G88" s="26" t="s">
        <v>198</v>
      </c>
      <c r="H88" s="28" t="str">
        <f>IF(COUNTIFS(MOVIMIENTOS!$D$5:$D$53,#REF!)=0,"",MAXIFS(MOVIMIENTOS!$B$5:$B$53,MOVIMIENTOS!$D$5:$D$53,#REF!,MOVIMIENTOS!$C$5:$C$53,"&lt;&gt;DEVOLUCION"))</f>
        <v/>
      </c>
      <c r="I88" s="28" t="str">
        <f>IF(COUNTIFS(MOVIMIENTOS!$D$5:$D$53,#REF!,MOVIMIENTOS!$C$5:$C$53,"DEVOLUCION")=0,"",MAXIFS(MOVIMIENTOS!$B$5:$B$53,MOVIMIENTOS!$D$5:$D$53,#REF!,MOVIMIENTOS!$C$5:$C$53,"DEVOLUCION"))</f>
        <v/>
      </c>
      <c r="J88" s="27">
        <f>COUNTIFS(MOVIMIENTOS!$D$5:$D$53,#REF!,MOVIMIENTOS!$C$5:$C$53,"PERDIDA")</f>
        <v>0</v>
      </c>
      <c r="K88" s="27" t="str">
        <f t="shared" si="1"/>
        <v/>
      </c>
      <c r="L88" s="26" t="s">
        <v>261</v>
      </c>
    </row>
    <row r="89" ht="15.75" customHeight="1">
      <c r="A89" s="26" t="s">
        <v>273</v>
      </c>
      <c r="B89" s="26" t="s">
        <v>257</v>
      </c>
      <c r="C89" s="27" t="s">
        <v>29</v>
      </c>
      <c r="D89" s="26" t="s">
        <v>274</v>
      </c>
      <c r="E89" s="27" t="str">
        <f t="array" ref="E89">IFERROR(XLOOKUP(#REF!,PERSONAL!$B$5:$B$135,PERSONAL!$A$5:$A$135),"POR REGISTRAR")</f>
        <v>POR REGISTRAR</v>
      </c>
      <c r="F89" s="26" t="s">
        <v>217</v>
      </c>
      <c r="G89" s="26" t="s">
        <v>198</v>
      </c>
      <c r="H89" s="28" t="str">
        <f>IF(COUNTIFS(MOVIMIENTOS!$D$5:$D$53,#REF!)=0,"",MAXIFS(MOVIMIENTOS!$B$5:$B$53,MOVIMIENTOS!$D$5:$D$53,#REF!,MOVIMIENTOS!$C$5:$C$53,"&lt;&gt;DEVOLUCION"))</f>
        <v/>
      </c>
      <c r="I89" s="28" t="str">
        <f>IF(COUNTIFS(MOVIMIENTOS!$D$5:$D$53,#REF!,MOVIMIENTOS!$C$5:$C$53,"DEVOLUCION")=0,"",MAXIFS(MOVIMIENTOS!$B$5:$B$53,MOVIMIENTOS!$D$5:$D$53,#REF!,MOVIMIENTOS!$C$5:$C$53,"DEVOLUCION"))</f>
        <v/>
      </c>
      <c r="J89" s="27">
        <f>COUNTIFS(MOVIMIENTOS!$D$5:$D$53,#REF!,MOVIMIENTOS!$C$5:$C$53,"PERDIDA")</f>
        <v>0</v>
      </c>
      <c r="K89" s="27" t="str">
        <f t="shared" si="1"/>
        <v/>
      </c>
      <c r="L89" s="26" t="s">
        <v>261</v>
      </c>
    </row>
    <row r="90" ht="15.75" customHeight="1">
      <c r="A90" s="26" t="s">
        <v>275</v>
      </c>
      <c r="B90" s="26" t="s">
        <v>257</v>
      </c>
      <c r="C90" s="27" t="s">
        <v>29</v>
      </c>
      <c r="D90" s="26" t="s">
        <v>276</v>
      </c>
      <c r="E90" s="27" t="str">
        <f t="array" ref="E90">IFERROR(XLOOKUP(#REF!,PERSONAL!$B$5:$B$135,PERSONAL!$A$5:$A$135),"POR REGISTRAR")</f>
        <v>POR REGISTRAR</v>
      </c>
      <c r="F90" s="26" t="s">
        <v>217</v>
      </c>
      <c r="G90" s="26" t="s">
        <v>198</v>
      </c>
      <c r="H90" s="28" t="str">
        <f>IF(COUNTIFS(MOVIMIENTOS!$D$5:$D$53,#REF!)=0,"",MAXIFS(MOVIMIENTOS!$B$5:$B$53,MOVIMIENTOS!$D$5:$D$53,#REF!,MOVIMIENTOS!$C$5:$C$53,"&lt;&gt;DEVOLUCION"))</f>
        <v/>
      </c>
      <c r="I90" s="28" t="str">
        <f>IF(COUNTIFS(MOVIMIENTOS!$D$5:$D$53,#REF!,MOVIMIENTOS!$C$5:$C$53,"DEVOLUCION")=0,"",MAXIFS(MOVIMIENTOS!$B$5:$B$53,MOVIMIENTOS!$D$5:$D$53,#REF!,MOVIMIENTOS!$C$5:$C$53,"DEVOLUCION"))</f>
        <v/>
      </c>
      <c r="J90" s="27">
        <f>COUNTIFS(MOVIMIENTOS!$D$5:$D$53,#REF!,MOVIMIENTOS!$C$5:$C$53,"PERDIDA")</f>
        <v>0</v>
      </c>
      <c r="K90" s="27" t="str">
        <f t="shared" si="1"/>
        <v/>
      </c>
      <c r="L90" s="26" t="s">
        <v>261</v>
      </c>
    </row>
    <row r="91" ht="15.75" customHeight="1">
      <c r="A91" s="26" t="s">
        <v>277</v>
      </c>
      <c r="B91" s="26" t="s">
        <v>257</v>
      </c>
      <c r="C91" s="27" t="s">
        <v>29</v>
      </c>
      <c r="D91" s="26" t="s">
        <v>278</v>
      </c>
      <c r="E91" s="27" t="str">
        <f t="array" ref="E91">IFERROR(XLOOKUP(#REF!,PERSONAL!$B$5:$B$135,PERSONAL!$A$5:$A$135),"POR REGISTRAR")</f>
        <v>POR REGISTRAR</v>
      </c>
      <c r="F91" s="26" t="s">
        <v>279</v>
      </c>
      <c r="G91" s="26" t="s">
        <v>280</v>
      </c>
      <c r="H91" s="28" t="str">
        <f>IF(COUNTIFS(MOVIMIENTOS!$D$5:$D$53,#REF!)=0,"",MAXIFS(MOVIMIENTOS!$B$5:$B$53,MOVIMIENTOS!$D$5:$D$53,#REF!,MOVIMIENTOS!$C$5:$C$53,"&lt;&gt;DEVOLUCION"))</f>
        <v/>
      </c>
      <c r="I91" s="28" t="str">
        <f>IF(COUNTIFS(MOVIMIENTOS!$D$5:$D$53,#REF!,MOVIMIENTOS!$C$5:$C$53,"DEVOLUCION")=0,"",MAXIFS(MOVIMIENTOS!$B$5:$B$53,MOVIMIENTOS!$D$5:$D$53,#REF!,MOVIMIENTOS!$C$5:$C$53,"DEVOLUCION"))</f>
        <v/>
      </c>
      <c r="J91" s="27">
        <f>COUNTIFS(MOVIMIENTOS!$D$5:$D$53,#REF!,MOVIMIENTOS!$C$5:$C$53,"PERDIDA")</f>
        <v>0</v>
      </c>
      <c r="K91" s="27" t="str">
        <f t="shared" si="1"/>
        <v/>
      </c>
      <c r="L91" s="26" t="s">
        <v>281</v>
      </c>
    </row>
    <row r="92" ht="15.75" customHeight="1">
      <c r="A92" s="26" t="s">
        <v>282</v>
      </c>
      <c r="B92" s="26" t="s">
        <v>257</v>
      </c>
      <c r="C92" s="27" t="s">
        <v>29</v>
      </c>
      <c r="D92" s="26" t="s">
        <v>283</v>
      </c>
      <c r="E92" s="27" t="str">
        <f t="array" ref="E92">IFERROR(XLOOKUP(#REF!,PERSONAL!$B$5:$B$135,PERSONAL!$A$5:$A$135),"POR REGISTRAR")</f>
        <v>POR REGISTRAR</v>
      </c>
      <c r="F92" s="26" t="s">
        <v>279</v>
      </c>
      <c r="G92" s="26" t="s">
        <v>280</v>
      </c>
      <c r="H92" s="28" t="str">
        <f>IF(COUNTIFS(MOVIMIENTOS!$D$5:$D$53,#REF!)=0,"",MAXIFS(MOVIMIENTOS!$B$5:$B$53,MOVIMIENTOS!$D$5:$D$53,#REF!,MOVIMIENTOS!$C$5:$C$53,"&lt;&gt;DEVOLUCION"))</f>
        <v/>
      </c>
      <c r="I92" s="28" t="str">
        <f>IF(COUNTIFS(MOVIMIENTOS!$D$5:$D$53,#REF!,MOVIMIENTOS!$C$5:$C$53,"DEVOLUCION")=0,"",MAXIFS(MOVIMIENTOS!$B$5:$B$53,MOVIMIENTOS!$D$5:$D$53,#REF!,MOVIMIENTOS!$C$5:$C$53,"DEVOLUCION"))</f>
        <v/>
      </c>
      <c r="J92" s="27">
        <f>COUNTIFS(MOVIMIENTOS!$D$5:$D$53,#REF!,MOVIMIENTOS!$C$5:$C$53,"PERDIDA")</f>
        <v>0</v>
      </c>
      <c r="K92" s="27" t="str">
        <f t="shared" si="1"/>
        <v/>
      </c>
      <c r="L92" s="26" t="s">
        <v>281</v>
      </c>
    </row>
    <row r="93" ht="15.75" customHeight="1">
      <c r="A93" s="26" t="s">
        <v>284</v>
      </c>
      <c r="B93" s="26" t="s">
        <v>257</v>
      </c>
      <c r="C93" s="27" t="s">
        <v>29</v>
      </c>
      <c r="D93" s="26" t="s">
        <v>285</v>
      </c>
      <c r="E93" s="27" t="str">
        <f t="array" ref="E93">IFERROR(XLOOKUP(#REF!,PERSONAL!$B$5:$B$135,PERSONAL!$A$5:$A$135),"POR REGISTRAR")</f>
        <v>POR REGISTRAR</v>
      </c>
      <c r="F93" s="26" t="s">
        <v>279</v>
      </c>
      <c r="G93" s="26" t="s">
        <v>280</v>
      </c>
      <c r="H93" s="28" t="str">
        <f>IF(COUNTIFS(MOVIMIENTOS!$D$5:$D$53,#REF!)=0,"",MAXIFS(MOVIMIENTOS!$B$5:$B$53,MOVIMIENTOS!$D$5:$D$53,#REF!,MOVIMIENTOS!$C$5:$C$53,"&lt;&gt;DEVOLUCION"))</f>
        <v/>
      </c>
      <c r="I93" s="28" t="str">
        <f>IF(COUNTIFS(MOVIMIENTOS!$D$5:$D$53,#REF!,MOVIMIENTOS!$C$5:$C$53,"DEVOLUCION")=0,"",MAXIFS(MOVIMIENTOS!$B$5:$B$53,MOVIMIENTOS!$D$5:$D$53,#REF!,MOVIMIENTOS!$C$5:$C$53,"DEVOLUCION"))</f>
        <v/>
      </c>
      <c r="J93" s="27">
        <f>COUNTIFS(MOVIMIENTOS!$D$5:$D$53,#REF!,MOVIMIENTOS!$C$5:$C$53,"PERDIDA")</f>
        <v>0</v>
      </c>
      <c r="K93" s="27" t="str">
        <f t="shared" si="1"/>
        <v/>
      </c>
      <c r="L93" s="26" t="s">
        <v>281</v>
      </c>
    </row>
    <row r="94" ht="15.75" customHeight="1">
      <c r="A94" s="26" t="s">
        <v>286</v>
      </c>
      <c r="B94" s="26" t="s">
        <v>257</v>
      </c>
      <c r="C94" s="27" t="s">
        <v>29</v>
      </c>
      <c r="D94" s="26" t="s">
        <v>287</v>
      </c>
      <c r="E94" s="27" t="str">
        <f t="array" ref="E94">IFERROR(XLOOKUP(#REF!,PERSONAL!$B$5:$B$135,PERSONAL!$A$5:$A$135),"POR REGISTRAR")</f>
        <v>POR REGISTRAR</v>
      </c>
      <c r="F94" s="26" t="s">
        <v>279</v>
      </c>
      <c r="G94" s="26" t="s">
        <v>280</v>
      </c>
      <c r="H94" s="28" t="str">
        <f>IF(COUNTIFS(MOVIMIENTOS!$D$5:$D$53,#REF!)=0,"",MAXIFS(MOVIMIENTOS!$B$5:$B$53,MOVIMIENTOS!$D$5:$D$53,#REF!,MOVIMIENTOS!$C$5:$C$53,"&lt;&gt;DEVOLUCION"))</f>
        <v/>
      </c>
      <c r="I94" s="28" t="str">
        <f>IF(COUNTIFS(MOVIMIENTOS!$D$5:$D$53,#REF!,MOVIMIENTOS!$C$5:$C$53,"DEVOLUCION")=0,"",MAXIFS(MOVIMIENTOS!$B$5:$B$53,MOVIMIENTOS!$D$5:$D$53,#REF!,MOVIMIENTOS!$C$5:$C$53,"DEVOLUCION"))</f>
        <v/>
      </c>
      <c r="J94" s="27">
        <f>COUNTIFS(MOVIMIENTOS!$D$5:$D$53,#REF!,MOVIMIENTOS!$C$5:$C$53,"PERDIDA")</f>
        <v>0</v>
      </c>
      <c r="K94" s="27" t="str">
        <f t="shared" si="1"/>
        <v/>
      </c>
      <c r="L94" s="26" t="s">
        <v>281</v>
      </c>
    </row>
    <row r="95" ht="15.75" customHeight="1">
      <c r="A95" s="26" t="s">
        <v>288</v>
      </c>
      <c r="B95" s="26" t="s">
        <v>257</v>
      </c>
      <c r="C95" s="27" t="s">
        <v>29</v>
      </c>
      <c r="D95" s="26" t="s">
        <v>289</v>
      </c>
      <c r="E95" s="27" t="str">
        <f t="array" ref="E95">IFERROR(XLOOKUP(#REF!,PERSONAL!$B$5:$B$135,PERSONAL!$A$5:$A$135),"POR REGISTRAR")</f>
        <v>POR REGISTRAR</v>
      </c>
      <c r="F95" s="26" t="s">
        <v>279</v>
      </c>
      <c r="G95" s="26" t="s">
        <v>280</v>
      </c>
      <c r="H95" s="28" t="str">
        <f>IF(COUNTIFS(MOVIMIENTOS!$D$5:$D$53,#REF!)=0,"",MAXIFS(MOVIMIENTOS!$B$5:$B$53,MOVIMIENTOS!$D$5:$D$53,#REF!,MOVIMIENTOS!$C$5:$C$53,"&lt;&gt;DEVOLUCION"))</f>
        <v/>
      </c>
      <c r="I95" s="28" t="str">
        <f>IF(COUNTIFS(MOVIMIENTOS!$D$5:$D$53,#REF!,MOVIMIENTOS!$C$5:$C$53,"DEVOLUCION")=0,"",MAXIFS(MOVIMIENTOS!$B$5:$B$53,MOVIMIENTOS!$D$5:$D$53,#REF!,MOVIMIENTOS!$C$5:$C$53,"DEVOLUCION"))</f>
        <v/>
      </c>
      <c r="J95" s="27">
        <f>COUNTIFS(MOVIMIENTOS!$D$5:$D$53,#REF!,MOVIMIENTOS!$C$5:$C$53,"PERDIDA")</f>
        <v>0</v>
      </c>
      <c r="K95" s="27" t="str">
        <f t="shared" si="1"/>
        <v/>
      </c>
      <c r="L95" s="26" t="s">
        <v>281</v>
      </c>
    </row>
    <row r="96" ht="15.75" customHeight="1">
      <c r="A96" s="26" t="s">
        <v>290</v>
      </c>
      <c r="B96" s="26" t="s">
        <v>257</v>
      </c>
      <c r="C96" s="27" t="s">
        <v>29</v>
      </c>
      <c r="D96" s="26" t="s">
        <v>291</v>
      </c>
      <c r="E96" s="27" t="str">
        <f t="array" ref="E96">IFERROR(XLOOKUP(#REF!,PERSONAL!$B$5:$B$135,PERSONAL!$A$5:$A$135),"POR REGISTRAR")</f>
        <v>POR REGISTRAR</v>
      </c>
      <c r="F96" s="26" t="s">
        <v>279</v>
      </c>
      <c r="G96" s="26" t="s">
        <v>280</v>
      </c>
      <c r="H96" s="28" t="str">
        <f>IF(COUNTIFS(MOVIMIENTOS!$D$5:$D$53,#REF!)=0,"",MAXIFS(MOVIMIENTOS!$B$5:$B$53,MOVIMIENTOS!$D$5:$D$53,#REF!,MOVIMIENTOS!$C$5:$C$53,"&lt;&gt;DEVOLUCION"))</f>
        <v/>
      </c>
      <c r="I96" s="28" t="str">
        <f>IF(COUNTIFS(MOVIMIENTOS!$D$5:$D$53,#REF!,MOVIMIENTOS!$C$5:$C$53,"DEVOLUCION")=0,"",MAXIFS(MOVIMIENTOS!$B$5:$B$53,MOVIMIENTOS!$D$5:$D$53,#REF!,MOVIMIENTOS!$C$5:$C$53,"DEVOLUCION"))</f>
        <v/>
      </c>
      <c r="J96" s="27">
        <f>COUNTIFS(MOVIMIENTOS!$D$5:$D$53,#REF!,MOVIMIENTOS!$C$5:$C$53,"PERDIDA")</f>
        <v>0</v>
      </c>
      <c r="K96" s="27" t="str">
        <f t="shared" si="1"/>
        <v/>
      </c>
      <c r="L96" s="26" t="s">
        <v>281</v>
      </c>
    </row>
    <row r="97" ht="15.75" customHeight="1">
      <c r="A97" s="26" t="s">
        <v>292</v>
      </c>
      <c r="B97" s="26" t="s">
        <v>257</v>
      </c>
      <c r="C97" s="27" t="s">
        <v>29</v>
      </c>
      <c r="D97" s="26" t="s">
        <v>279</v>
      </c>
      <c r="E97" s="27" t="str">
        <f t="array" ref="E97">IFERROR(XLOOKUP(#REF!,PERSONAL!$B$5:$B$135,PERSONAL!$A$5:$A$135),"POR REGISTRAR")</f>
        <v>POR REGISTRAR</v>
      </c>
      <c r="F97" s="26" t="s">
        <v>279</v>
      </c>
      <c r="G97" s="26" t="s">
        <v>280</v>
      </c>
      <c r="H97" s="28" t="str">
        <f>IF(COUNTIFS(MOVIMIENTOS!$D$5:$D$53,#REF!)=0,"",MAXIFS(MOVIMIENTOS!$B$5:$B$53,MOVIMIENTOS!$D$5:$D$53,#REF!,MOVIMIENTOS!$C$5:$C$53,"&lt;&gt;DEVOLUCION"))</f>
        <v/>
      </c>
      <c r="I97" s="28" t="str">
        <f>IF(COUNTIFS(MOVIMIENTOS!$D$5:$D$53,#REF!,MOVIMIENTOS!$C$5:$C$53,"DEVOLUCION")=0,"",MAXIFS(MOVIMIENTOS!$B$5:$B$53,MOVIMIENTOS!$D$5:$D$53,#REF!,MOVIMIENTOS!$C$5:$C$53,"DEVOLUCION"))</f>
        <v/>
      </c>
      <c r="J97" s="27">
        <f>COUNTIFS(MOVIMIENTOS!$D$5:$D$53,#REF!,MOVIMIENTOS!$C$5:$C$53,"PERDIDA")</f>
        <v>0</v>
      </c>
      <c r="K97" s="27" t="str">
        <f t="shared" si="1"/>
        <v/>
      </c>
      <c r="L97" s="26" t="s">
        <v>281</v>
      </c>
    </row>
    <row r="98" ht="15.75" customHeight="1">
      <c r="A98" s="26" t="s">
        <v>293</v>
      </c>
      <c r="B98" s="26" t="s">
        <v>257</v>
      </c>
      <c r="C98" s="27" t="s">
        <v>29</v>
      </c>
      <c r="D98" s="26" t="s">
        <v>29</v>
      </c>
      <c r="E98" s="27" t="str">
        <f t="array" ref="E98">IFERROR(XLOOKUP(#REF!,PERSONAL!$B$5:$B$135,PERSONAL!$A$5:$A$135),"POR REGISTRAR")</f>
        <v>POR REGISTRAR</v>
      </c>
      <c r="F98" s="26" t="s">
        <v>294</v>
      </c>
      <c r="G98" s="26" t="s">
        <v>123</v>
      </c>
      <c r="H98" s="28" t="str">
        <f>IF(COUNTIFS(MOVIMIENTOS!$D$5:$D$53,#REF!)=0,"",MAXIFS(MOVIMIENTOS!$B$5:$B$53,MOVIMIENTOS!$D$5:$D$53,#REF!,MOVIMIENTOS!$C$5:$C$53,"&lt;&gt;DEVOLUCION"))</f>
        <v/>
      </c>
      <c r="I98" s="28" t="str">
        <f>IF(COUNTIFS(MOVIMIENTOS!$D$5:$D$53,#REF!,MOVIMIENTOS!$C$5:$C$53,"DEVOLUCION")=0,"",MAXIFS(MOVIMIENTOS!$B$5:$B$53,MOVIMIENTOS!$D$5:$D$53,#REF!,MOVIMIENTOS!$C$5:$C$53,"DEVOLUCION"))</f>
        <v/>
      </c>
      <c r="J98" s="27">
        <f>COUNTIFS(MOVIMIENTOS!$D$5:$D$53,#REF!,MOVIMIENTOS!$C$5:$C$53,"PERDIDA")</f>
        <v>0</v>
      </c>
      <c r="K98" s="27" t="str">
        <f t="shared" si="1"/>
        <v/>
      </c>
      <c r="L98" s="26" t="s">
        <v>96</v>
      </c>
    </row>
    <row r="99" ht="15.75" customHeight="1">
      <c r="A99" s="26" t="s">
        <v>295</v>
      </c>
      <c r="B99" s="26" t="s">
        <v>257</v>
      </c>
      <c r="C99" s="27" t="s">
        <v>29</v>
      </c>
      <c r="D99" s="26" t="s">
        <v>29</v>
      </c>
      <c r="E99" s="27" t="str">
        <f t="array" ref="E99">IFERROR(XLOOKUP(#REF!,PERSONAL!$B$5:$B$135,PERSONAL!$A$5:$A$135),"POR REGISTRAR")</f>
        <v>POR REGISTRAR</v>
      </c>
      <c r="F99" s="26" t="s">
        <v>294</v>
      </c>
      <c r="G99" s="26" t="s">
        <v>123</v>
      </c>
      <c r="H99" s="28" t="str">
        <f>IF(COUNTIFS(MOVIMIENTOS!$D$5:$D$53,#REF!)=0,"",MAXIFS(MOVIMIENTOS!$B$5:$B$53,MOVIMIENTOS!$D$5:$D$53,#REF!,MOVIMIENTOS!$C$5:$C$53,"&lt;&gt;DEVOLUCION"))</f>
        <v/>
      </c>
      <c r="I99" s="28" t="str">
        <f>IF(COUNTIFS(MOVIMIENTOS!$D$5:$D$53,#REF!,MOVIMIENTOS!$C$5:$C$53,"DEVOLUCION")=0,"",MAXIFS(MOVIMIENTOS!$B$5:$B$53,MOVIMIENTOS!$D$5:$D$53,#REF!,MOVIMIENTOS!$C$5:$C$53,"DEVOLUCION"))</f>
        <v/>
      </c>
      <c r="J99" s="27">
        <f>COUNTIFS(MOVIMIENTOS!$D$5:$D$53,#REF!,MOVIMIENTOS!$C$5:$C$53,"PERDIDA")</f>
        <v>0</v>
      </c>
      <c r="K99" s="27" t="str">
        <f t="shared" si="1"/>
        <v/>
      </c>
      <c r="L99" s="26" t="s">
        <v>96</v>
      </c>
    </row>
    <row r="100" ht="15.75" customHeight="1">
      <c r="A100" s="26" t="s">
        <v>296</v>
      </c>
      <c r="B100" s="26" t="s">
        <v>257</v>
      </c>
      <c r="C100" s="27" t="s">
        <v>29</v>
      </c>
      <c r="D100" s="26" t="s">
        <v>29</v>
      </c>
      <c r="E100" s="27" t="str">
        <f t="array" ref="E100">IFERROR(XLOOKUP(#REF!,PERSONAL!$B$5:$B$135,PERSONAL!$A$5:$A$135),"POR REGISTRAR")</f>
        <v>POR REGISTRAR</v>
      </c>
      <c r="F100" s="26" t="s">
        <v>294</v>
      </c>
      <c r="G100" s="26" t="s">
        <v>123</v>
      </c>
      <c r="H100" s="28" t="str">
        <f>IF(COUNTIFS(MOVIMIENTOS!$D$5:$D$53,#REF!)=0,"",MAXIFS(MOVIMIENTOS!$B$5:$B$53,MOVIMIENTOS!$D$5:$D$53,#REF!,MOVIMIENTOS!$C$5:$C$53,"&lt;&gt;DEVOLUCION"))</f>
        <v/>
      </c>
      <c r="I100" s="28" t="str">
        <f>IF(COUNTIFS(MOVIMIENTOS!$D$5:$D$53,#REF!,MOVIMIENTOS!$C$5:$C$53,"DEVOLUCION")=0,"",MAXIFS(MOVIMIENTOS!$B$5:$B$53,MOVIMIENTOS!$D$5:$D$53,#REF!,MOVIMIENTOS!$C$5:$C$53,"DEVOLUCION"))</f>
        <v/>
      </c>
      <c r="J100" s="27">
        <f>COUNTIFS(MOVIMIENTOS!$D$5:$D$53,#REF!,MOVIMIENTOS!$C$5:$C$53,"PERDIDA")</f>
        <v>0</v>
      </c>
      <c r="K100" s="27" t="str">
        <f t="shared" si="1"/>
        <v/>
      </c>
      <c r="L100" s="26" t="s">
        <v>96</v>
      </c>
    </row>
    <row r="101" ht="15.75" customHeight="1">
      <c r="A101" s="26" t="s">
        <v>297</v>
      </c>
      <c r="B101" s="26" t="s">
        <v>257</v>
      </c>
      <c r="C101" s="27" t="s">
        <v>29</v>
      </c>
      <c r="D101" s="26" t="s">
        <v>29</v>
      </c>
      <c r="E101" s="27" t="str">
        <f t="array" ref="E101">IFERROR(XLOOKUP(#REF!,PERSONAL!$B$5:$B$135,PERSONAL!$A$5:$A$135),"POR REGISTRAR")</f>
        <v>POR REGISTRAR</v>
      </c>
      <c r="F101" s="26" t="s">
        <v>294</v>
      </c>
      <c r="G101" s="26" t="s">
        <v>123</v>
      </c>
      <c r="H101" s="28" t="str">
        <f>IF(COUNTIFS(MOVIMIENTOS!$D$5:$D$53,#REF!)=0,"",MAXIFS(MOVIMIENTOS!$B$5:$B$53,MOVIMIENTOS!$D$5:$D$53,#REF!,MOVIMIENTOS!$C$5:$C$53,"&lt;&gt;DEVOLUCION"))</f>
        <v/>
      </c>
      <c r="I101" s="28" t="str">
        <f>IF(COUNTIFS(MOVIMIENTOS!$D$5:$D$53,#REF!,MOVIMIENTOS!$C$5:$C$53,"DEVOLUCION")=0,"",MAXIFS(MOVIMIENTOS!$B$5:$B$53,MOVIMIENTOS!$D$5:$D$53,#REF!,MOVIMIENTOS!$C$5:$C$53,"DEVOLUCION"))</f>
        <v/>
      </c>
      <c r="J101" s="27">
        <f>COUNTIFS(MOVIMIENTOS!$D$5:$D$53,#REF!,MOVIMIENTOS!$C$5:$C$53,"PERDIDA")</f>
        <v>0</v>
      </c>
      <c r="K101" s="27" t="str">
        <f t="shared" si="1"/>
        <v/>
      </c>
      <c r="L101" s="26" t="s">
        <v>96</v>
      </c>
    </row>
    <row r="102" ht="15.75" customHeight="1">
      <c r="A102" s="26" t="s">
        <v>298</v>
      </c>
      <c r="B102" s="26" t="s">
        <v>257</v>
      </c>
      <c r="C102" s="27" t="s">
        <v>29</v>
      </c>
      <c r="D102" s="26" t="s">
        <v>29</v>
      </c>
      <c r="E102" s="27" t="str">
        <f t="array" ref="E102">IFERROR(XLOOKUP(#REF!,PERSONAL!$B$5:$B$135,PERSONAL!$A$5:$A$135),"POR REGISTRAR")</f>
        <v>POR REGISTRAR</v>
      </c>
      <c r="F102" s="26" t="s">
        <v>294</v>
      </c>
      <c r="G102" s="26" t="s">
        <v>123</v>
      </c>
      <c r="H102" s="28" t="str">
        <f>IF(COUNTIFS(MOVIMIENTOS!$D$5:$D$53,#REF!)=0,"",MAXIFS(MOVIMIENTOS!$B$5:$B$53,MOVIMIENTOS!$D$5:$D$53,#REF!,MOVIMIENTOS!$C$5:$C$53,"&lt;&gt;DEVOLUCION"))</f>
        <v/>
      </c>
      <c r="I102" s="28" t="str">
        <f>IF(COUNTIFS(MOVIMIENTOS!$D$5:$D$53,#REF!,MOVIMIENTOS!$C$5:$C$53,"DEVOLUCION")=0,"",MAXIFS(MOVIMIENTOS!$B$5:$B$53,MOVIMIENTOS!$D$5:$D$53,#REF!,MOVIMIENTOS!$C$5:$C$53,"DEVOLUCION"))</f>
        <v/>
      </c>
      <c r="J102" s="27">
        <f>COUNTIFS(MOVIMIENTOS!$D$5:$D$53,#REF!,MOVIMIENTOS!$C$5:$C$53,"PERDIDA")</f>
        <v>0</v>
      </c>
      <c r="K102" s="27" t="str">
        <f t="shared" si="1"/>
        <v/>
      </c>
      <c r="L102" s="26" t="s">
        <v>96</v>
      </c>
    </row>
    <row r="103" ht="15.75" customHeight="1">
      <c r="A103" s="26" t="s">
        <v>299</v>
      </c>
      <c r="B103" s="26" t="s">
        <v>257</v>
      </c>
      <c r="C103" s="27" t="s">
        <v>29</v>
      </c>
      <c r="D103" s="26" t="s">
        <v>29</v>
      </c>
      <c r="E103" s="27" t="str">
        <f t="array" ref="E103">IFERROR(XLOOKUP(#REF!,PERSONAL!$B$5:$B$135,PERSONAL!$A$5:$A$135),"POR REGISTRAR")</f>
        <v>POR REGISTRAR</v>
      </c>
      <c r="F103" s="26" t="s">
        <v>294</v>
      </c>
      <c r="G103" s="26" t="s">
        <v>123</v>
      </c>
      <c r="H103" s="28" t="str">
        <f>IF(COUNTIFS(MOVIMIENTOS!$D$5:$D$53,#REF!)=0,"",MAXIFS(MOVIMIENTOS!$B$5:$B$53,MOVIMIENTOS!$D$5:$D$53,#REF!,MOVIMIENTOS!$C$5:$C$53,"&lt;&gt;DEVOLUCION"))</f>
        <v/>
      </c>
      <c r="I103" s="28" t="str">
        <f>IF(COUNTIFS(MOVIMIENTOS!$D$5:$D$53,#REF!,MOVIMIENTOS!$C$5:$C$53,"DEVOLUCION")=0,"",MAXIFS(MOVIMIENTOS!$B$5:$B$53,MOVIMIENTOS!$D$5:$D$53,#REF!,MOVIMIENTOS!$C$5:$C$53,"DEVOLUCION"))</f>
        <v/>
      </c>
      <c r="J103" s="27">
        <f>COUNTIFS(MOVIMIENTOS!$D$5:$D$53,#REF!,MOVIMIENTOS!$C$5:$C$53,"PERDIDA")</f>
        <v>0</v>
      </c>
      <c r="K103" s="27" t="str">
        <f t="shared" si="1"/>
        <v/>
      </c>
      <c r="L103" s="26" t="s">
        <v>96</v>
      </c>
    </row>
    <row r="104" ht="15.75" customHeight="1">
      <c r="A104" s="26" t="s">
        <v>300</v>
      </c>
      <c r="B104" s="26" t="s">
        <v>257</v>
      </c>
      <c r="C104" s="27" t="s">
        <v>29</v>
      </c>
      <c r="D104" s="26" t="s">
        <v>29</v>
      </c>
      <c r="E104" s="27" t="str">
        <f t="array" ref="E104">IFERROR(XLOOKUP(#REF!,PERSONAL!$B$5:$B$135,PERSONAL!$A$5:$A$135),"POR REGISTRAR")</f>
        <v>POR REGISTRAR</v>
      </c>
      <c r="F104" s="26" t="s">
        <v>294</v>
      </c>
      <c r="G104" s="26" t="s">
        <v>123</v>
      </c>
      <c r="H104" s="28" t="str">
        <f>IF(COUNTIFS(MOVIMIENTOS!$D$5:$D$53,#REF!)=0,"",MAXIFS(MOVIMIENTOS!$B$5:$B$53,MOVIMIENTOS!$D$5:$D$53,#REF!,MOVIMIENTOS!$C$5:$C$53,"&lt;&gt;DEVOLUCION"))</f>
        <v/>
      </c>
      <c r="I104" s="28" t="str">
        <f>IF(COUNTIFS(MOVIMIENTOS!$D$5:$D$53,#REF!,MOVIMIENTOS!$C$5:$C$53,"DEVOLUCION")=0,"",MAXIFS(MOVIMIENTOS!$B$5:$B$53,MOVIMIENTOS!$D$5:$D$53,#REF!,MOVIMIENTOS!$C$5:$C$53,"DEVOLUCION"))</f>
        <v/>
      </c>
      <c r="J104" s="27">
        <f>COUNTIFS(MOVIMIENTOS!$D$5:$D$53,#REF!,MOVIMIENTOS!$C$5:$C$53,"PERDIDA")</f>
        <v>0</v>
      </c>
      <c r="K104" s="27" t="str">
        <f t="shared" si="1"/>
        <v/>
      </c>
      <c r="L104" s="26" t="s">
        <v>96</v>
      </c>
    </row>
    <row r="105" ht="15.75" customHeight="1">
      <c r="A105" s="26" t="s">
        <v>301</v>
      </c>
      <c r="B105" s="26" t="s">
        <v>257</v>
      </c>
      <c r="C105" s="27" t="s">
        <v>29</v>
      </c>
      <c r="D105" s="26" t="s">
        <v>29</v>
      </c>
      <c r="E105" s="27" t="str">
        <f t="array" ref="E105">IFERROR(XLOOKUP(#REF!,PERSONAL!$B$5:$B$135,PERSONAL!$A$5:$A$135),"POR REGISTRAR")</f>
        <v>POR REGISTRAR</v>
      </c>
      <c r="F105" s="26" t="s">
        <v>294</v>
      </c>
      <c r="G105" s="26" t="s">
        <v>123</v>
      </c>
      <c r="H105" s="28" t="str">
        <f>IF(COUNTIFS(MOVIMIENTOS!$D$5:$D$53,#REF!)=0,"",MAXIFS(MOVIMIENTOS!$B$5:$B$53,MOVIMIENTOS!$D$5:$D$53,#REF!,MOVIMIENTOS!$C$5:$C$53,"&lt;&gt;DEVOLUCION"))</f>
        <v/>
      </c>
      <c r="I105" s="28" t="str">
        <f>IF(COUNTIFS(MOVIMIENTOS!$D$5:$D$53,#REF!,MOVIMIENTOS!$C$5:$C$53,"DEVOLUCION")=0,"",MAXIFS(MOVIMIENTOS!$B$5:$B$53,MOVIMIENTOS!$D$5:$D$53,#REF!,MOVIMIENTOS!$C$5:$C$53,"DEVOLUCION"))</f>
        <v/>
      </c>
      <c r="J105" s="27">
        <f>COUNTIFS(MOVIMIENTOS!$D$5:$D$53,#REF!,MOVIMIENTOS!$C$5:$C$53,"PERDIDA")</f>
        <v>0</v>
      </c>
      <c r="K105" s="27" t="str">
        <f t="shared" si="1"/>
        <v/>
      </c>
      <c r="L105" s="26" t="s">
        <v>96</v>
      </c>
    </row>
    <row r="106" ht="15.75" customHeight="1">
      <c r="A106" s="26" t="s">
        <v>302</v>
      </c>
      <c r="B106" s="26" t="s">
        <v>257</v>
      </c>
      <c r="C106" s="27" t="s">
        <v>29</v>
      </c>
      <c r="D106" s="26" t="s">
        <v>29</v>
      </c>
      <c r="E106" s="27" t="str">
        <f t="array" ref="E106">IFERROR(XLOOKUP(#REF!,PERSONAL!$B$5:$B$135,PERSONAL!$A$5:$A$135),"POR REGISTRAR")</f>
        <v>POR REGISTRAR</v>
      </c>
      <c r="F106" s="26" t="s">
        <v>294</v>
      </c>
      <c r="G106" s="26" t="s">
        <v>123</v>
      </c>
      <c r="H106" s="28" t="str">
        <f>IF(COUNTIFS(MOVIMIENTOS!$D$5:$D$53,#REF!)=0,"",MAXIFS(MOVIMIENTOS!$B$5:$B$53,MOVIMIENTOS!$D$5:$D$53,#REF!,MOVIMIENTOS!$C$5:$C$53,"&lt;&gt;DEVOLUCION"))</f>
        <v/>
      </c>
      <c r="I106" s="28" t="str">
        <f>IF(COUNTIFS(MOVIMIENTOS!$D$5:$D$53,#REF!,MOVIMIENTOS!$C$5:$C$53,"DEVOLUCION")=0,"",MAXIFS(MOVIMIENTOS!$B$5:$B$53,MOVIMIENTOS!$D$5:$D$53,#REF!,MOVIMIENTOS!$C$5:$C$53,"DEVOLUCION"))</f>
        <v/>
      </c>
      <c r="J106" s="27">
        <f>COUNTIFS(MOVIMIENTOS!$D$5:$D$53,#REF!,MOVIMIENTOS!$C$5:$C$53,"PERDIDA")</f>
        <v>0</v>
      </c>
      <c r="K106" s="27" t="str">
        <f t="shared" si="1"/>
        <v/>
      </c>
      <c r="L106" s="26" t="s">
        <v>96</v>
      </c>
    </row>
    <row r="107" ht="15.75" customHeight="1">
      <c r="A107" s="26" t="s">
        <v>303</v>
      </c>
      <c r="B107" s="26" t="s">
        <v>257</v>
      </c>
      <c r="C107" s="27" t="s">
        <v>29</v>
      </c>
      <c r="D107" s="26" t="s">
        <v>29</v>
      </c>
      <c r="E107" s="27" t="str">
        <f t="array" ref="E107">IFERROR(XLOOKUP(#REF!,PERSONAL!$B$5:$B$135,PERSONAL!$A$5:$A$135),"POR REGISTRAR")</f>
        <v>POR REGISTRAR</v>
      </c>
      <c r="F107" s="26" t="s">
        <v>294</v>
      </c>
      <c r="G107" s="26" t="s">
        <v>123</v>
      </c>
      <c r="H107" s="28" t="str">
        <f>IF(COUNTIFS(MOVIMIENTOS!$D$5:$D$53,#REF!)=0,"",MAXIFS(MOVIMIENTOS!$B$5:$B$53,MOVIMIENTOS!$D$5:$D$53,#REF!,MOVIMIENTOS!$C$5:$C$53,"&lt;&gt;DEVOLUCION"))</f>
        <v/>
      </c>
      <c r="I107" s="28" t="str">
        <f>IF(COUNTIFS(MOVIMIENTOS!$D$5:$D$53,#REF!,MOVIMIENTOS!$C$5:$C$53,"DEVOLUCION")=0,"",MAXIFS(MOVIMIENTOS!$B$5:$B$53,MOVIMIENTOS!$D$5:$D$53,#REF!,MOVIMIENTOS!$C$5:$C$53,"DEVOLUCION"))</f>
        <v/>
      </c>
      <c r="J107" s="27">
        <f>COUNTIFS(MOVIMIENTOS!$D$5:$D$53,#REF!,MOVIMIENTOS!$C$5:$C$53,"PERDIDA")</f>
        <v>0</v>
      </c>
      <c r="K107" s="27" t="str">
        <f t="shared" si="1"/>
        <v/>
      </c>
      <c r="L107" s="26" t="s">
        <v>96</v>
      </c>
    </row>
    <row r="108" ht="15.75" customHeight="1">
      <c r="A108" s="26" t="s">
        <v>304</v>
      </c>
      <c r="B108" s="26" t="s">
        <v>257</v>
      </c>
      <c r="C108" s="27" t="s">
        <v>29</v>
      </c>
      <c r="D108" s="26" t="s">
        <v>29</v>
      </c>
      <c r="E108" s="27" t="str">
        <f t="array" ref="E108">IFERROR(XLOOKUP(#REF!,PERSONAL!$B$5:$B$135,PERSONAL!$A$5:$A$135),"POR REGISTRAR")</f>
        <v>POR REGISTRAR</v>
      </c>
      <c r="F108" s="26" t="s">
        <v>305</v>
      </c>
      <c r="G108" s="26" t="s">
        <v>95</v>
      </c>
      <c r="H108" s="28" t="str">
        <f>IF(COUNTIFS(MOVIMIENTOS!$D$5:$D$53,#REF!)=0,"",MAXIFS(MOVIMIENTOS!$B$5:$B$53,MOVIMIENTOS!$D$5:$D$53,#REF!,MOVIMIENTOS!$C$5:$C$53,"&lt;&gt;DEVOLUCION"))</f>
        <v/>
      </c>
      <c r="I108" s="28" t="str">
        <f>IF(COUNTIFS(MOVIMIENTOS!$D$5:$D$53,#REF!,MOVIMIENTOS!$C$5:$C$53,"DEVOLUCION")=0,"",MAXIFS(MOVIMIENTOS!$B$5:$B$53,MOVIMIENTOS!$D$5:$D$53,#REF!,MOVIMIENTOS!$C$5:$C$53,"DEVOLUCION"))</f>
        <v/>
      </c>
      <c r="J108" s="27">
        <f>COUNTIFS(MOVIMIENTOS!$D$5:$D$53,#REF!,MOVIMIENTOS!$C$5:$C$53,"PERDIDA")</f>
        <v>0</v>
      </c>
      <c r="K108" s="27" t="str">
        <f t="shared" si="1"/>
        <v/>
      </c>
      <c r="L108" s="26" t="s">
        <v>96</v>
      </c>
    </row>
    <row r="109" ht="15.75" customHeight="1">
      <c r="A109" s="26" t="s">
        <v>306</v>
      </c>
      <c r="B109" s="26" t="s">
        <v>257</v>
      </c>
      <c r="C109" s="27" t="s">
        <v>29</v>
      </c>
      <c r="D109" s="26" t="s">
        <v>29</v>
      </c>
      <c r="E109" s="27" t="str">
        <f t="array" ref="E109">IFERROR(XLOOKUP(#REF!,PERSONAL!$B$5:$B$135,PERSONAL!$A$5:$A$135),"POR REGISTRAR")</f>
        <v>POR REGISTRAR</v>
      </c>
      <c r="F109" s="26" t="s">
        <v>305</v>
      </c>
      <c r="G109" s="26" t="s">
        <v>95</v>
      </c>
      <c r="H109" s="28" t="str">
        <f>IF(COUNTIFS(MOVIMIENTOS!$D$5:$D$53,#REF!)=0,"",MAXIFS(MOVIMIENTOS!$B$5:$B$53,MOVIMIENTOS!$D$5:$D$53,#REF!,MOVIMIENTOS!$C$5:$C$53,"&lt;&gt;DEVOLUCION"))</f>
        <v/>
      </c>
      <c r="I109" s="28" t="str">
        <f>IF(COUNTIFS(MOVIMIENTOS!$D$5:$D$53,#REF!,MOVIMIENTOS!$C$5:$C$53,"DEVOLUCION")=0,"",MAXIFS(MOVIMIENTOS!$B$5:$B$53,MOVIMIENTOS!$D$5:$D$53,#REF!,MOVIMIENTOS!$C$5:$C$53,"DEVOLUCION"))</f>
        <v/>
      </c>
      <c r="J109" s="27">
        <f>COUNTIFS(MOVIMIENTOS!$D$5:$D$53,#REF!,MOVIMIENTOS!$C$5:$C$53,"PERDIDA")</f>
        <v>0</v>
      </c>
      <c r="K109" s="27" t="str">
        <f t="shared" si="1"/>
        <v/>
      </c>
      <c r="L109" s="26" t="s">
        <v>96</v>
      </c>
    </row>
    <row r="110" ht="15.75" customHeight="1">
      <c r="A110" s="26" t="s">
        <v>307</v>
      </c>
      <c r="B110" s="26" t="s">
        <v>257</v>
      </c>
      <c r="C110" s="27" t="s">
        <v>29</v>
      </c>
      <c r="D110" s="26" t="s">
        <v>29</v>
      </c>
      <c r="E110" s="27" t="str">
        <f t="array" ref="E110">IFERROR(XLOOKUP(#REF!,PERSONAL!$B$5:$B$135,PERSONAL!$A$5:$A$135),"POR REGISTRAR")</f>
        <v>POR REGISTRAR</v>
      </c>
      <c r="F110" s="26" t="s">
        <v>305</v>
      </c>
      <c r="G110" s="26" t="s">
        <v>95</v>
      </c>
      <c r="H110" s="28" t="str">
        <f>IF(COUNTIFS(MOVIMIENTOS!$D$5:$D$53,#REF!)=0,"",MAXIFS(MOVIMIENTOS!$B$5:$B$53,MOVIMIENTOS!$D$5:$D$53,#REF!,MOVIMIENTOS!$C$5:$C$53,"&lt;&gt;DEVOLUCION"))</f>
        <v/>
      </c>
      <c r="I110" s="28" t="str">
        <f>IF(COUNTIFS(MOVIMIENTOS!$D$5:$D$53,#REF!,MOVIMIENTOS!$C$5:$C$53,"DEVOLUCION")=0,"",MAXIFS(MOVIMIENTOS!$B$5:$B$53,MOVIMIENTOS!$D$5:$D$53,#REF!,MOVIMIENTOS!$C$5:$C$53,"DEVOLUCION"))</f>
        <v/>
      </c>
      <c r="J110" s="27">
        <f>COUNTIFS(MOVIMIENTOS!$D$5:$D$53,#REF!,MOVIMIENTOS!$C$5:$C$53,"PERDIDA")</f>
        <v>0</v>
      </c>
      <c r="K110" s="27" t="str">
        <f t="shared" si="1"/>
        <v/>
      </c>
      <c r="L110" s="26" t="s">
        <v>96</v>
      </c>
    </row>
    <row r="111" ht="15.75" customHeight="1">
      <c r="A111" s="26" t="s">
        <v>308</v>
      </c>
      <c r="B111" s="26" t="s">
        <v>257</v>
      </c>
      <c r="C111" s="27" t="s">
        <v>29</v>
      </c>
      <c r="D111" s="26" t="s">
        <v>29</v>
      </c>
      <c r="E111" s="27" t="str">
        <f t="array" ref="E111">IFERROR(XLOOKUP(#REF!,PERSONAL!$B$5:$B$135,PERSONAL!$A$5:$A$135),"POR REGISTRAR")</f>
        <v>POR REGISTRAR</v>
      </c>
      <c r="F111" s="26" t="s">
        <v>305</v>
      </c>
      <c r="G111" s="26" t="s">
        <v>95</v>
      </c>
      <c r="H111" s="28" t="str">
        <f>IF(COUNTIFS(MOVIMIENTOS!$D$5:$D$53,#REF!)=0,"",MAXIFS(MOVIMIENTOS!$B$5:$B$53,MOVIMIENTOS!$D$5:$D$53,#REF!,MOVIMIENTOS!$C$5:$C$53,"&lt;&gt;DEVOLUCION"))</f>
        <v/>
      </c>
      <c r="I111" s="28" t="str">
        <f>IF(COUNTIFS(MOVIMIENTOS!$D$5:$D$53,#REF!,MOVIMIENTOS!$C$5:$C$53,"DEVOLUCION")=0,"",MAXIFS(MOVIMIENTOS!$B$5:$B$53,MOVIMIENTOS!$D$5:$D$53,#REF!,MOVIMIENTOS!$C$5:$C$53,"DEVOLUCION"))</f>
        <v/>
      </c>
      <c r="J111" s="27">
        <f>COUNTIFS(MOVIMIENTOS!$D$5:$D$53,#REF!,MOVIMIENTOS!$C$5:$C$53,"PERDIDA")</f>
        <v>0</v>
      </c>
      <c r="K111" s="27" t="str">
        <f t="shared" si="1"/>
        <v/>
      </c>
      <c r="L111" s="26" t="s">
        <v>96</v>
      </c>
    </row>
    <row r="112" ht="15.75" customHeight="1">
      <c r="A112" s="26" t="s">
        <v>309</v>
      </c>
      <c r="B112" s="26" t="s">
        <v>257</v>
      </c>
      <c r="C112" s="27" t="s">
        <v>29</v>
      </c>
      <c r="D112" s="26" t="s">
        <v>29</v>
      </c>
      <c r="E112" s="27" t="str">
        <f t="array" ref="E112">IFERROR(XLOOKUP(#REF!,PERSONAL!$B$5:$B$135,PERSONAL!$A$5:$A$135),"POR REGISTRAR")</f>
        <v>POR REGISTRAR</v>
      </c>
      <c r="F112" s="26" t="s">
        <v>305</v>
      </c>
      <c r="G112" s="26" t="s">
        <v>95</v>
      </c>
      <c r="H112" s="28" t="str">
        <f>IF(COUNTIFS(MOVIMIENTOS!$D$5:$D$53,#REF!)=0,"",MAXIFS(MOVIMIENTOS!$B$5:$B$53,MOVIMIENTOS!$D$5:$D$53,#REF!,MOVIMIENTOS!$C$5:$C$53,"&lt;&gt;DEVOLUCION"))</f>
        <v/>
      </c>
      <c r="I112" s="28" t="str">
        <f>IF(COUNTIFS(MOVIMIENTOS!$D$5:$D$53,#REF!,MOVIMIENTOS!$C$5:$C$53,"DEVOLUCION")=0,"",MAXIFS(MOVIMIENTOS!$B$5:$B$53,MOVIMIENTOS!$D$5:$D$53,#REF!,MOVIMIENTOS!$C$5:$C$53,"DEVOLUCION"))</f>
        <v/>
      </c>
      <c r="J112" s="27">
        <f>COUNTIFS(MOVIMIENTOS!$D$5:$D$53,#REF!,MOVIMIENTOS!$C$5:$C$53,"PERDIDA")</f>
        <v>0</v>
      </c>
      <c r="K112" s="27" t="str">
        <f t="shared" si="1"/>
        <v/>
      </c>
      <c r="L112" s="26" t="s">
        <v>96</v>
      </c>
    </row>
    <row r="113" ht="15.75" customHeight="1">
      <c r="A113" s="26" t="s">
        <v>310</v>
      </c>
      <c r="B113" s="26" t="s">
        <v>257</v>
      </c>
      <c r="C113" s="27" t="s">
        <v>29</v>
      </c>
      <c r="D113" s="26" t="s">
        <v>29</v>
      </c>
      <c r="E113" s="27" t="str">
        <f t="array" ref="E113">IFERROR(XLOOKUP(#REF!,PERSONAL!$B$5:$B$135,PERSONAL!$A$5:$A$135),"POR REGISTRAR")</f>
        <v>POR REGISTRAR</v>
      </c>
      <c r="F113" s="26" t="s">
        <v>305</v>
      </c>
      <c r="G113" s="26" t="s">
        <v>95</v>
      </c>
      <c r="H113" s="28" t="str">
        <f>IF(COUNTIFS(MOVIMIENTOS!$D$5:$D$53,#REF!)=0,"",MAXIFS(MOVIMIENTOS!$B$5:$B$53,MOVIMIENTOS!$D$5:$D$53,#REF!,MOVIMIENTOS!$C$5:$C$53,"&lt;&gt;DEVOLUCION"))</f>
        <v/>
      </c>
      <c r="I113" s="28" t="str">
        <f>IF(COUNTIFS(MOVIMIENTOS!$D$5:$D$53,#REF!,MOVIMIENTOS!$C$5:$C$53,"DEVOLUCION")=0,"",MAXIFS(MOVIMIENTOS!$B$5:$B$53,MOVIMIENTOS!$D$5:$D$53,#REF!,MOVIMIENTOS!$C$5:$C$53,"DEVOLUCION"))</f>
        <v/>
      </c>
      <c r="J113" s="27">
        <f>COUNTIFS(MOVIMIENTOS!$D$5:$D$53,#REF!,MOVIMIENTOS!$C$5:$C$53,"PERDIDA")</f>
        <v>0</v>
      </c>
      <c r="K113" s="27" t="str">
        <f t="shared" si="1"/>
        <v/>
      </c>
      <c r="L113" s="26" t="s">
        <v>96</v>
      </c>
    </row>
    <row r="114" ht="15.75" customHeight="1">
      <c r="A114" s="26" t="s">
        <v>311</v>
      </c>
      <c r="B114" s="26" t="s">
        <v>257</v>
      </c>
      <c r="C114" s="27" t="s">
        <v>29</v>
      </c>
      <c r="D114" s="26" t="s">
        <v>29</v>
      </c>
      <c r="E114" s="27" t="str">
        <f t="array" ref="E114">IFERROR(XLOOKUP(#REF!,PERSONAL!$B$5:$B$135,PERSONAL!$A$5:$A$135),"POR REGISTRAR")</f>
        <v>POR REGISTRAR</v>
      </c>
      <c r="F114" s="26" t="s">
        <v>305</v>
      </c>
      <c r="G114" s="26" t="s">
        <v>95</v>
      </c>
      <c r="H114" s="28" t="str">
        <f>IF(COUNTIFS(MOVIMIENTOS!$D$5:$D$53,#REF!)=0,"",MAXIFS(MOVIMIENTOS!$B$5:$B$53,MOVIMIENTOS!$D$5:$D$53,#REF!,MOVIMIENTOS!$C$5:$C$53,"&lt;&gt;DEVOLUCION"))</f>
        <v/>
      </c>
      <c r="I114" s="28" t="str">
        <f>IF(COUNTIFS(MOVIMIENTOS!$D$5:$D$53,#REF!,MOVIMIENTOS!$C$5:$C$53,"DEVOLUCION")=0,"",MAXIFS(MOVIMIENTOS!$B$5:$B$53,MOVIMIENTOS!$D$5:$D$53,#REF!,MOVIMIENTOS!$C$5:$C$53,"DEVOLUCION"))</f>
        <v/>
      </c>
      <c r="J114" s="27">
        <f>COUNTIFS(MOVIMIENTOS!$D$5:$D$53,#REF!,MOVIMIENTOS!$C$5:$C$53,"PERDIDA")</f>
        <v>0</v>
      </c>
      <c r="K114" s="27" t="str">
        <f t="shared" si="1"/>
        <v/>
      </c>
      <c r="L114" s="26" t="s">
        <v>96</v>
      </c>
    </row>
    <row r="115" ht="15.75" customHeight="1">
      <c r="A115" s="26" t="s">
        <v>312</v>
      </c>
      <c r="B115" s="26" t="s">
        <v>257</v>
      </c>
      <c r="C115" s="27" t="s">
        <v>29</v>
      </c>
      <c r="D115" s="26" t="s">
        <v>29</v>
      </c>
      <c r="E115" s="27" t="str">
        <f t="array" ref="E115">IFERROR(XLOOKUP(#REF!,PERSONAL!$B$5:$B$135,PERSONAL!$A$5:$A$135),"POR REGISTRAR")</f>
        <v>POR REGISTRAR</v>
      </c>
      <c r="F115" s="26" t="s">
        <v>305</v>
      </c>
      <c r="G115" s="26" t="s">
        <v>95</v>
      </c>
      <c r="H115" s="28" t="str">
        <f>IF(COUNTIFS(MOVIMIENTOS!$D$5:$D$53,#REF!)=0,"",MAXIFS(MOVIMIENTOS!$B$5:$B$53,MOVIMIENTOS!$D$5:$D$53,#REF!,MOVIMIENTOS!$C$5:$C$53,"&lt;&gt;DEVOLUCION"))</f>
        <v/>
      </c>
      <c r="I115" s="28" t="str">
        <f>IF(COUNTIFS(MOVIMIENTOS!$D$5:$D$53,#REF!,MOVIMIENTOS!$C$5:$C$53,"DEVOLUCION")=0,"",MAXIFS(MOVIMIENTOS!$B$5:$B$53,MOVIMIENTOS!$D$5:$D$53,#REF!,MOVIMIENTOS!$C$5:$C$53,"DEVOLUCION"))</f>
        <v/>
      </c>
      <c r="J115" s="27">
        <f>COUNTIFS(MOVIMIENTOS!$D$5:$D$53,#REF!,MOVIMIENTOS!$C$5:$C$53,"PERDIDA")</f>
        <v>0</v>
      </c>
      <c r="K115" s="27" t="str">
        <f t="shared" si="1"/>
        <v/>
      </c>
      <c r="L115" s="26" t="s">
        <v>96</v>
      </c>
    </row>
    <row r="116" ht="15.75" customHeight="1">
      <c r="A116" s="26" t="s">
        <v>313</v>
      </c>
      <c r="B116" s="26" t="s">
        <v>257</v>
      </c>
      <c r="C116" s="27" t="s">
        <v>29</v>
      </c>
      <c r="D116" s="26" t="s">
        <v>29</v>
      </c>
      <c r="E116" s="27" t="str">
        <f t="array" ref="E116">IFERROR(XLOOKUP(#REF!,PERSONAL!$B$5:$B$135,PERSONAL!$A$5:$A$135),"POR REGISTRAR")</f>
        <v>POR REGISTRAR</v>
      </c>
      <c r="F116" s="26" t="s">
        <v>305</v>
      </c>
      <c r="G116" s="26" t="s">
        <v>95</v>
      </c>
      <c r="H116" s="28" t="str">
        <f>IF(COUNTIFS(MOVIMIENTOS!$D$5:$D$53,#REF!)=0,"",MAXIFS(MOVIMIENTOS!$B$5:$B$53,MOVIMIENTOS!$D$5:$D$53,#REF!,MOVIMIENTOS!$C$5:$C$53,"&lt;&gt;DEVOLUCION"))</f>
        <v/>
      </c>
      <c r="I116" s="28" t="str">
        <f>IF(COUNTIFS(MOVIMIENTOS!$D$5:$D$53,#REF!,MOVIMIENTOS!$C$5:$C$53,"DEVOLUCION")=0,"",MAXIFS(MOVIMIENTOS!$B$5:$B$53,MOVIMIENTOS!$D$5:$D$53,#REF!,MOVIMIENTOS!$C$5:$C$53,"DEVOLUCION"))</f>
        <v/>
      </c>
      <c r="J116" s="27">
        <f>COUNTIFS(MOVIMIENTOS!$D$5:$D$53,#REF!,MOVIMIENTOS!$C$5:$C$53,"PERDIDA")</f>
        <v>0</v>
      </c>
      <c r="K116" s="27" t="str">
        <f t="shared" si="1"/>
        <v/>
      </c>
      <c r="L116" s="26" t="s">
        <v>96</v>
      </c>
    </row>
    <row r="117" ht="15.75" customHeight="1">
      <c r="A117" s="26" t="s">
        <v>314</v>
      </c>
      <c r="B117" s="26" t="s">
        <v>257</v>
      </c>
      <c r="C117" s="27" t="s">
        <v>29</v>
      </c>
      <c r="D117" s="26" t="s">
        <v>29</v>
      </c>
      <c r="E117" s="27" t="str">
        <f t="array" ref="E117">IFERROR(XLOOKUP(#REF!,PERSONAL!$B$5:$B$135,PERSONAL!$A$5:$A$135),"POR REGISTRAR")</f>
        <v>POR REGISTRAR</v>
      </c>
      <c r="F117" s="26" t="s">
        <v>305</v>
      </c>
      <c r="G117" s="26" t="s">
        <v>95</v>
      </c>
      <c r="H117" s="28" t="str">
        <f>IF(COUNTIFS(MOVIMIENTOS!$D$5:$D$53,#REF!)=0,"",MAXIFS(MOVIMIENTOS!$B$5:$B$53,MOVIMIENTOS!$D$5:$D$53,#REF!,MOVIMIENTOS!$C$5:$C$53,"&lt;&gt;DEVOLUCION"))</f>
        <v/>
      </c>
      <c r="I117" s="28" t="str">
        <f>IF(COUNTIFS(MOVIMIENTOS!$D$5:$D$53,#REF!,MOVIMIENTOS!$C$5:$C$53,"DEVOLUCION")=0,"",MAXIFS(MOVIMIENTOS!$B$5:$B$53,MOVIMIENTOS!$D$5:$D$53,#REF!,MOVIMIENTOS!$C$5:$C$53,"DEVOLUCION"))</f>
        <v/>
      </c>
      <c r="J117" s="27">
        <f>COUNTIFS(MOVIMIENTOS!$D$5:$D$53,#REF!,MOVIMIENTOS!$C$5:$C$53,"PERDIDA")</f>
        <v>0</v>
      </c>
      <c r="K117" s="27" t="str">
        <f t="shared" si="1"/>
        <v/>
      </c>
      <c r="L117" s="26" t="s">
        <v>96</v>
      </c>
    </row>
    <row r="118" ht="15.75" customHeight="1">
      <c r="A118" s="26" t="s">
        <v>315</v>
      </c>
      <c r="B118" s="26" t="s">
        <v>257</v>
      </c>
      <c r="C118" s="27" t="s">
        <v>92</v>
      </c>
      <c r="D118" s="26" t="s">
        <v>316</v>
      </c>
      <c r="E118" s="27" t="str">
        <f t="array" ref="E118">IFERROR(XLOOKUP(#REF!,PERSONAL!$B$5:$B$135,PERSONAL!$A$5:$A$135),"POR REGISTRAR")</f>
        <v>POR REGISTRAR</v>
      </c>
      <c r="F118" s="26" t="s">
        <v>122</v>
      </c>
      <c r="G118" s="26" t="s">
        <v>123</v>
      </c>
      <c r="H118" s="28" t="str">
        <f>IF(COUNTIFS(MOVIMIENTOS!$D$5:$D$53,#REF!)=0,"",MAXIFS(MOVIMIENTOS!$B$5:$B$53,MOVIMIENTOS!$D$5:$D$53,#REF!,MOVIMIENTOS!$C$5:$C$53,"&lt;&gt;DEVOLUCION"))</f>
        <v/>
      </c>
      <c r="I118" s="28" t="str">
        <f>IF(COUNTIFS(MOVIMIENTOS!$D$5:$D$53,#REF!,MOVIMIENTOS!$C$5:$C$53,"DEVOLUCION")=0,"",MAXIFS(MOVIMIENTOS!$B$5:$B$53,MOVIMIENTOS!$D$5:$D$53,#REF!,MOVIMIENTOS!$C$5:$C$53,"DEVOLUCION"))</f>
        <v/>
      </c>
      <c r="J118" s="27">
        <f>COUNTIFS(MOVIMIENTOS!$D$5:$D$53,#REF!,MOVIMIENTOS!$C$5:$C$53,"PERDIDA")</f>
        <v>0</v>
      </c>
      <c r="K118" s="27" t="str">
        <f t="shared" si="1"/>
        <v/>
      </c>
      <c r="L118" s="26" t="s">
        <v>96</v>
      </c>
    </row>
    <row r="119" ht="15.75" customHeight="1">
      <c r="A119" s="26" t="s">
        <v>317</v>
      </c>
      <c r="B119" s="26" t="s">
        <v>257</v>
      </c>
      <c r="C119" s="27" t="s">
        <v>92</v>
      </c>
      <c r="D119" s="26" t="s">
        <v>122</v>
      </c>
      <c r="E119" s="27" t="str">
        <f t="array" ref="E119">IFERROR(XLOOKUP(#REF!,PERSONAL!$B$5:$B$135,PERSONAL!$A$5:$A$135),"POR REGISTRAR")</f>
        <v>POR REGISTRAR</v>
      </c>
      <c r="F119" s="26" t="s">
        <v>122</v>
      </c>
      <c r="G119" s="26" t="s">
        <v>123</v>
      </c>
      <c r="H119" s="28" t="str">
        <f>IF(COUNTIFS(MOVIMIENTOS!$D$5:$D$53,#REF!)=0,"",MAXIFS(MOVIMIENTOS!$B$5:$B$53,MOVIMIENTOS!$D$5:$D$53,#REF!,MOVIMIENTOS!$C$5:$C$53,"&lt;&gt;DEVOLUCION"))</f>
        <v/>
      </c>
      <c r="I119" s="28" t="str">
        <f>IF(COUNTIFS(MOVIMIENTOS!$D$5:$D$53,#REF!,MOVIMIENTOS!$C$5:$C$53,"DEVOLUCION")=0,"",MAXIFS(MOVIMIENTOS!$B$5:$B$53,MOVIMIENTOS!$D$5:$D$53,#REF!,MOVIMIENTOS!$C$5:$C$53,"DEVOLUCION"))</f>
        <v/>
      </c>
      <c r="J119" s="27">
        <f>COUNTIFS(MOVIMIENTOS!$D$5:$D$53,#REF!,MOVIMIENTOS!$C$5:$C$53,"PERDIDA")</f>
        <v>0</v>
      </c>
      <c r="K119" s="27" t="str">
        <f t="shared" si="1"/>
        <v/>
      </c>
      <c r="L119" s="26" t="s">
        <v>96</v>
      </c>
    </row>
    <row r="120" ht="15.75" customHeight="1">
      <c r="A120" s="26" t="s">
        <v>318</v>
      </c>
      <c r="B120" s="26" t="s">
        <v>257</v>
      </c>
      <c r="C120" s="27" t="s">
        <v>92</v>
      </c>
      <c r="D120" s="26" t="s">
        <v>319</v>
      </c>
      <c r="E120" s="27" t="str">
        <f t="array" ref="E120">IFERROR(XLOOKUP(#REF!,PERSONAL!$B$5:$B$135,PERSONAL!$A$5:$A$135),"POR REGISTRAR")</f>
        <v>POR REGISTRAR</v>
      </c>
      <c r="F120" s="26" t="s">
        <v>128</v>
      </c>
      <c r="G120" s="26" t="s">
        <v>123</v>
      </c>
      <c r="H120" s="28" t="str">
        <f>IF(COUNTIFS(MOVIMIENTOS!$D$5:$D$53,#REF!)=0,"",MAXIFS(MOVIMIENTOS!$B$5:$B$53,MOVIMIENTOS!$D$5:$D$53,#REF!,MOVIMIENTOS!$C$5:$C$53,"&lt;&gt;DEVOLUCION"))</f>
        <v/>
      </c>
      <c r="I120" s="28" t="str">
        <f>IF(COUNTIFS(MOVIMIENTOS!$D$5:$D$53,#REF!,MOVIMIENTOS!$C$5:$C$53,"DEVOLUCION")=0,"",MAXIFS(MOVIMIENTOS!$B$5:$B$53,MOVIMIENTOS!$D$5:$D$53,#REF!,MOVIMIENTOS!$C$5:$C$53,"DEVOLUCION"))</f>
        <v/>
      </c>
      <c r="J120" s="27">
        <f>COUNTIFS(MOVIMIENTOS!$D$5:$D$53,#REF!,MOVIMIENTOS!$C$5:$C$53,"PERDIDA")</f>
        <v>0</v>
      </c>
      <c r="K120" s="27" t="str">
        <f t="shared" si="1"/>
        <v/>
      </c>
      <c r="L120" s="26" t="s">
        <v>96</v>
      </c>
    </row>
    <row r="121" ht="15.75" customHeight="1">
      <c r="A121" s="26" t="s">
        <v>320</v>
      </c>
      <c r="B121" s="26" t="s">
        <v>257</v>
      </c>
      <c r="C121" s="27" t="s">
        <v>92</v>
      </c>
      <c r="D121" s="26" t="s">
        <v>153</v>
      </c>
      <c r="E121" s="27" t="str">
        <f t="array" ref="E121">IFERROR(XLOOKUP(#REF!,PERSONAL!$B$5:$B$135,PERSONAL!$A$5:$A$135),"POR REGISTRAR")</f>
        <v>POR REGISTRAR</v>
      </c>
      <c r="F121" s="26" t="s">
        <v>153</v>
      </c>
      <c r="G121" s="26" t="s">
        <v>123</v>
      </c>
      <c r="H121" s="28" t="str">
        <f>IF(COUNTIFS(MOVIMIENTOS!$D$5:$D$53,#REF!)=0,"",MAXIFS(MOVIMIENTOS!$B$5:$B$53,MOVIMIENTOS!$D$5:$D$53,#REF!,MOVIMIENTOS!$C$5:$C$53,"&lt;&gt;DEVOLUCION"))</f>
        <v/>
      </c>
      <c r="I121" s="28" t="str">
        <f>IF(COUNTIFS(MOVIMIENTOS!$D$5:$D$53,#REF!,MOVIMIENTOS!$C$5:$C$53,"DEVOLUCION")=0,"",MAXIFS(MOVIMIENTOS!$B$5:$B$53,MOVIMIENTOS!$D$5:$D$53,#REF!,MOVIMIENTOS!$C$5:$C$53,"DEVOLUCION"))</f>
        <v/>
      </c>
      <c r="J121" s="27">
        <f>COUNTIFS(MOVIMIENTOS!$D$5:$D$53,#REF!,MOVIMIENTOS!$C$5:$C$53,"PERDIDA")</f>
        <v>0</v>
      </c>
      <c r="K121" s="27" t="str">
        <f t="shared" si="1"/>
        <v/>
      </c>
      <c r="L121" s="26" t="s">
        <v>96</v>
      </c>
    </row>
    <row r="122" ht="15.75" customHeight="1">
      <c r="A122" s="26" t="s">
        <v>321</v>
      </c>
      <c r="B122" s="26" t="s">
        <v>257</v>
      </c>
      <c r="C122" s="27" t="s">
        <v>92</v>
      </c>
      <c r="D122" s="26" t="s">
        <v>322</v>
      </c>
      <c r="E122" s="27" t="str">
        <f t="array" ref="E122">IFERROR(XLOOKUP(#REF!,PERSONAL!$B$5:$B$135,PERSONAL!$A$5:$A$135),"POR REGISTRAR")</f>
        <v>POR REGISTRAR</v>
      </c>
      <c r="F122" s="26" t="s">
        <v>153</v>
      </c>
      <c r="G122" s="26" t="s">
        <v>123</v>
      </c>
      <c r="H122" s="28" t="str">
        <f>IF(COUNTIFS(MOVIMIENTOS!$D$5:$D$53,#REF!)=0,"",MAXIFS(MOVIMIENTOS!$B$5:$B$53,MOVIMIENTOS!$D$5:$D$53,#REF!,MOVIMIENTOS!$C$5:$C$53,"&lt;&gt;DEVOLUCION"))</f>
        <v/>
      </c>
      <c r="I122" s="28" t="str">
        <f>IF(COUNTIFS(MOVIMIENTOS!$D$5:$D$53,#REF!,MOVIMIENTOS!$C$5:$C$53,"DEVOLUCION")=0,"",MAXIFS(MOVIMIENTOS!$B$5:$B$53,MOVIMIENTOS!$D$5:$D$53,#REF!,MOVIMIENTOS!$C$5:$C$53,"DEVOLUCION"))</f>
        <v/>
      </c>
      <c r="J122" s="27">
        <f>COUNTIFS(MOVIMIENTOS!$D$5:$D$53,#REF!,MOVIMIENTOS!$C$5:$C$53,"PERDIDA")</f>
        <v>0</v>
      </c>
      <c r="K122" s="27" t="str">
        <f t="shared" si="1"/>
        <v/>
      </c>
      <c r="L122" s="26" t="s">
        <v>96</v>
      </c>
    </row>
    <row r="123" ht="15.75" customHeight="1">
      <c r="A123" s="26" t="s">
        <v>323</v>
      </c>
      <c r="B123" s="26" t="s">
        <v>257</v>
      </c>
      <c r="C123" s="27" t="s">
        <v>92</v>
      </c>
      <c r="D123" s="26" t="s">
        <v>324</v>
      </c>
      <c r="E123" s="27" t="str">
        <f t="array" ref="E123">IFERROR(XLOOKUP(#REF!,PERSONAL!$B$5:$B$135,PERSONAL!$A$5:$A$135),"POR REGISTRAR")</f>
        <v>POR REGISTRAR</v>
      </c>
      <c r="F123" s="26" t="s">
        <v>153</v>
      </c>
      <c r="G123" s="26" t="s">
        <v>123</v>
      </c>
      <c r="H123" s="28" t="str">
        <f>IF(COUNTIFS(MOVIMIENTOS!$D$5:$D$53,#REF!)=0,"",MAXIFS(MOVIMIENTOS!$B$5:$B$53,MOVIMIENTOS!$D$5:$D$53,#REF!,MOVIMIENTOS!$C$5:$C$53,"&lt;&gt;DEVOLUCION"))</f>
        <v/>
      </c>
      <c r="I123" s="28" t="str">
        <f>IF(COUNTIFS(MOVIMIENTOS!$D$5:$D$53,#REF!,MOVIMIENTOS!$C$5:$C$53,"DEVOLUCION")=0,"",MAXIFS(MOVIMIENTOS!$B$5:$B$53,MOVIMIENTOS!$D$5:$D$53,#REF!,MOVIMIENTOS!$C$5:$C$53,"DEVOLUCION"))</f>
        <v/>
      </c>
      <c r="J123" s="27">
        <f>COUNTIFS(MOVIMIENTOS!$D$5:$D$53,#REF!,MOVIMIENTOS!$C$5:$C$53,"PERDIDA")</f>
        <v>0</v>
      </c>
      <c r="K123" s="27" t="str">
        <f t="shared" si="1"/>
        <v/>
      </c>
      <c r="L123" s="26" t="s">
        <v>96</v>
      </c>
    </row>
    <row r="124" ht="15.75" customHeight="1">
      <c r="A124" s="26" t="s">
        <v>325</v>
      </c>
      <c r="B124" s="26" t="s">
        <v>257</v>
      </c>
      <c r="C124" s="27" t="s">
        <v>92</v>
      </c>
      <c r="D124" s="26" t="s">
        <v>326</v>
      </c>
      <c r="E124" s="27" t="str">
        <f t="array" ref="E124">IFERROR(XLOOKUP(#REF!,PERSONAL!$B$5:$B$135,PERSONAL!$A$5:$A$135),"POR REGISTRAR")</f>
        <v>POR REGISTRAR</v>
      </c>
      <c r="F124" s="26" t="s">
        <v>135</v>
      </c>
      <c r="G124" s="26" t="s">
        <v>136</v>
      </c>
      <c r="H124" s="28" t="str">
        <f>IF(COUNTIFS(MOVIMIENTOS!$D$5:$D$53,#REF!)=0,"",MAXIFS(MOVIMIENTOS!$B$5:$B$53,MOVIMIENTOS!$D$5:$D$53,#REF!,MOVIMIENTOS!$C$5:$C$53,"&lt;&gt;DEVOLUCION"))</f>
        <v/>
      </c>
      <c r="I124" s="28" t="str">
        <f>IF(COUNTIFS(MOVIMIENTOS!$D$5:$D$53,#REF!,MOVIMIENTOS!$C$5:$C$53,"DEVOLUCION")=0,"",MAXIFS(MOVIMIENTOS!$B$5:$B$53,MOVIMIENTOS!$D$5:$D$53,#REF!,MOVIMIENTOS!$C$5:$C$53,"DEVOLUCION"))</f>
        <v/>
      </c>
      <c r="J124" s="27">
        <f>COUNTIFS(MOVIMIENTOS!$D$5:$D$53,#REF!,MOVIMIENTOS!$C$5:$C$53,"PERDIDA")</f>
        <v>0</v>
      </c>
      <c r="K124" s="27" t="str">
        <f t="shared" si="1"/>
        <v/>
      </c>
      <c r="L124" s="26" t="s">
        <v>96</v>
      </c>
    </row>
    <row r="125" ht="15.75" customHeight="1">
      <c r="A125" s="26" t="s">
        <v>327</v>
      </c>
      <c r="B125" s="26" t="s">
        <v>257</v>
      </c>
      <c r="C125" s="27" t="s">
        <v>92</v>
      </c>
      <c r="D125" s="26" t="s">
        <v>328</v>
      </c>
      <c r="E125" s="27" t="str">
        <f t="array" ref="E125">IFERROR(XLOOKUP(#REF!,PERSONAL!$B$5:$B$135,PERSONAL!$A$5:$A$135),"POR REGISTRAR")</f>
        <v>POR REGISTRAR</v>
      </c>
      <c r="F125" s="26" t="s">
        <v>135</v>
      </c>
      <c r="G125" s="26" t="s">
        <v>136</v>
      </c>
      <c r="H125" s="28" t="str">
        <f>IF(COUNTIFS(MOVIMIENTOS!$D$5:$D$53,#REF!)=0,"",MAXIFS(MOVIMIENTOS!$B$5:$B$53,MOVIMIENTOS!$D$5:$D$53,#REF!,MOVIMIENTOS!$C$5:$C$53,"&lt;&gt;DEVOLUCION"))</f>
        <v/>
      </c>
      <c r="I125" s="28" t="str">
        <f>IF(COUNTIFS(MOVIMIENTOS!$D$5:$D$53,#REF!,MOVIMIENTOS!$C$5:$C$53,"DEVOLUCION")=0,"",MAXIFS(MOVIMIENTOS!$B$5:$B$53,MOVIMIENTOS!$D$5:$D$53,#REF!,MOVIMIENTOS!$C$5:$C$53,"DEVOLUCION"))</f>
        <v/>
      </c>
      <c r="J125" s="27">
        <f>COUNTIFS(MOVIMIENTOS!$D$5:$D$53,#REF!,MOVIMIENTOS!$C$5:$C$53,"PERDIDA")</f>
        <v>0</v>
      </c>
      <c r="K125" s="27" t="str">
        <f t="shared" si="1"/>
        <v/>
      </c>
      <c r="L125" s="26" t="s">
        <v>96</v>
      </c>
    </row>
    <row r="126" ht="15.75" customHeight="1">
      <c r="A126" s="26" t="s">
        <v>329</v>
      </c>
      <c r="B126" s="26" t="s">
        <v>257</v>
      </c>
      <c r="C126" s="27" t="s">
        <v>92</v>
      </c>
      <c r="D126" s="26" t="s">
        <v>330</v>
      </c>
      <c r="E126" s="27" t="str">
        <f t="array" ref="E126">IFERROR(XLOOKUP(#REF!,PERSONAL!$B$5:$B$135,PERSONAL!$A$5:$A$135),"POR REGISTRAR")</f>
        <v>POR REGISTRAR</v>
      </c>
      <c r="F126" s="26" t="s">
        <v>197</v>
      </c>
      <c r="G126" s="26" t="s">
        <v>198</v>
      </c>
      <c r="H126" s="28" t="str">
        <f>IF(COUNTIFS(MOVIMIENTOS!$D$5:$D$53,#REF!)=0,"",MAXIFS(MOVIMIENTOS!$B$5:$B$53,MOVIMIENTOS!$D$5:$D$53,#REF!,MOVIMIENTOS!$C$5:$C$53,"&lt;&gt;DEVOLUCION"))</f>
        <v/>
      </c>
      <c r="I126" s="28" t="str">
        <f>IF(COUNTIFS(MOVIMIENTOS!$D$5:$D$53,#REF!,MOVIMIENTOS!$C$5:$C$53,"DEVOLUCION")=0,"",MAXIFS(MOVIMIENTOS!$B$5:$B$53,MOVIMIENTOS!$D$5:$D$53,#REF!,MOVIMIENTOS!$C$5:$C$53,"DEVOLUCION"))</f>
        <v/>
      </c>
      <c r="J126" s="27">
        <f>COUNTIFS(MOVIMIENTOS!$D$5:$D$53,#REF!,MOVIMIENTOS!$C$5:$C$53,"PERDIDA")</f>
        <v>0</v>
      </c>
      <c r="K126" s="27" t="str">
        <f t="shared" si="1"/>
        <v/>
      </c>
      <c r="L126" s="26" t="s">
        <v>331</v>
      </c>
    </row>
    <row r="127" ht="15.75" customHeight="1">
      <c r="A127" s="26" t="s">
        <v>332</v>
      </c>
      <c r="B127" s="26" t="s">
        <v>257</v>
      </c>
      <c r="C127" s="27" t="s">
        <v>92</v>
      </c>
      <c r="D127" s="26" t="s">
        <v>224</v>
      </c>
      <c r="E127" s="27" t="str">
        <f t="array" ref="E127">IFERROR(XLOOKUP(#REF!,PERSONAL!$B$5:$B$135,PERSONAL!$A$5:$A$135),"POR REGISTRAR")</f>
        <v>POR REGISTRAR</v>
      </c>
      <c r="F127" s="26" t="s">
        <v>197</v>
      </c>
      <c r="G127" s="26" t="s">
        <v>198</v>
      </c>
      <c r="H127" s="28" t="str">
        <f>IF(COUNTIFS(MOVIMIENTOS!$D$5:$D$53,#REF!)=0,"",MAXIFS(MOVIMIENTOS!$B$5:$B$53,MOVIMIENTOS!$D$5:$D$53,#REF!,MOVIMIENTOS!$C$5:$C$53,"&lt;&gt;DEVOLUCION"))</f>
        <v/>
      </c>
      <c r="I127" s="28" t="str">
        <f>IF(COUNTIFS(MOVIMIENTOS!$D$5:$D$53,#REF!,MOVIMIENTOS!$C$5:$C$53,"DEVOLUCION")=0,"",MAXIFS(MOVIMIENTOS!$B$5:$B$53,MOVIMIENTOS!$D$5:$D$53,#REF!,MOVIMIENTOS!$C$5:$C$53,"DEVOLUCION"))</f>
        <v/>
      </c>
      <c r="J127" s="27">
        <f>COUNTIFS(MOVIMIENTOS!$D$5:$D$53,#REF!,MOVIMIENTOS!$C$5:$C$53,"PERDIDA")</f>
        <v>0</v>
      </c>
      <c r="K127" s="27" t="str">
        <f t="shared" si="1"/>
        <v/>
      </c>
      <c r="L127" s="26" t="s">
        <v>333</v>
      </c>
    </row>
    <row r="128" ht="15.75" customHeight="1">
      <c r="A128" s="26" t="s">
        <v>334</v>
      </c>
      <c r="B128" s="26" t="s">
        <v>257</v>
      </c>
      <c r="C128" s="30" t="s">
        <v>104</v>
      </c>
      <c r="D128" s="26" t="s">
        <v>244</v>
      </c>
      <c r="E128" s="27" t="str">
        <f t="array" ref="E128">IFERROR(XLOOKUP(#REF!,PERSONAL!$B$5:$B$135,PERSONAL!$A$5:$A$135),"POR REGISTRAR")</f>
        <v>POR REGISTRAR</v>
      </c>
      <c r="F128" s="26" t="s">
        <v>96</v>
      </c>
      <c r="G128" s="26" t="s">
        <v>198</v>
      </c>
      <c r="H128" s="28" t="str">
        <f>IF(COUNTIFS(MOVIMIENTOS!$D$5:$D$53,#REF!)=0,"",MAXIFS(MOVIMIENTOS!$B$5:$B$53,MOVIMIENTOS!$D$5:$D$53,#REF!,MOVIMIENTOS!$C$5:$C$53,"&lt;&gt;DEVOLUCION"))</f>
        <v/>
      </c>
      <c r="I128" s="28" t="str">
        <f>IF(COUNTIFS(MOVIMIENTOS!$D$5:$D$53,#REF!,MOVIMIENTOS!$C$5:$C$53,"DEVOLUCION")=0,"",MAXIFS(MOVIMIENTOS!$B$5:$B$53,MOVIMIENTOS!$D$5:$D$53,#REF!,MOVIMIENTOS!$C$5:$C$53,"DEVOLUCION"))</f>
        <v/>
      </c>
      <c r="J128" s="27">
        <f>COUNTIFS(MOVIMIENTOS!$D$5:$D$53,#REF!,MOVIMIENTOS!$C$5:$C$53,"PERDIDA")</f>
        <v>0</v>
      </c>
      <c r="K128" s="27" t="str">
        <f t="shared" si="1"/>
        <v/>
      </c>
      <c r="L128" s="26" t="s">
        <v>96</v>
      </c>
    </row>
    <row r="129" ht="15.75" customHeight="1">
      <c r="A129" s="26" t="s">
        <v>335</v>
      </c>
      <c r="B129" s="26" t="s">
        <v>257</v>
      </c>
      <c r="C129" s="27" t="s">
        <v>104</v>
      </c>
      <c r="D129" s="26" t="s">
        <v>244</v>
      </c>
      <c r="E129" s="27" t="str">
        <f t="array" ref="E129">IFERROR(XLOOKUP(#REF!,PERSONAL!$B$5:$B$135,PERSONAL!$A$5:$A$135),"POR REGISTRAR")</f>
        <v>POR REGISTRAR</v>
      </c>
      <c r="F129" s="26" t="s">
        <v>96</v>
      </c>
      <c r="G129" s="26" t="s">
        <v>198</v>
      </c>
      <c r="H129" s="28" t="str">
        <f>IF(COUNTIFS(MOVIMIENTOS!$D$5:$D$53,#REF!)=0,"",MAXIFS(MOVIMIENTOS!$B$5:$B$53,MOVIMIENTOS!$D$5:$D$53,#REF!,MOVIMIENTOS!$C$5:$C$53,"&lt;&gt;DEVOLUCION"))</f>
        <v/>
      </c>
      <c r="I129" s="28" t="str">
        <f>IF(COUNTIFS(MOVIMIENTOS!$D$5:$D$53,#REF!,MOVIMIENTOS!$C$5:$C$53,"DEVOLUCION")=0,"",MAXIFS(MOVIMIENTOS!$B$5:$B$53,MOVIMIENTOS!$D$5:$D$53,#REF!,MOVIMIENTOS!$C$5:$C$53,"DEVOLUCION"))</f>
        <v/>
      </c>
      <c r="J129" s="27">
        <f>COUNTIFS(MOVIMIENTOS!$D$5:$D$53,#REF!,MOVIMIENTOS!$C$5:$C$53,"PERDIDA")</f>
        <v>0</v>
      </c>
      <c r="K129" s="27" t="str">
        <f t="shared" si="1"/>
        <v/>
      </c>
      <c r="L129" s="26" t="s">
        <v>96</v>
      </c>
    </row>
    <row r="130" ht="15.75" customHeight="1">
      <c r="A130" s="26" t="s">
        <v>336</v>
      </c>
      <c r="B130" s="26" t="s">
        <v>257</v>
      </c>
      <c r="C130" s="27" t="s">
        <v>104</v>
      </c>
      <c r="D130" s="26" t="s">
        <v>244</v>
      </c>
      <c r="E130" s="27" t="str">
        <f t="array" ref="E130">IFERROR(XLOOKUP(#REF!,PERSONAL!$B$5:$B$135,PERSONAL!$A$5:$A$135),"POR REGISTRAR")</f>
        <v>POR REGISTRAR</v>
      </c>
      <c r="F130" s="26" t="s">
        <v>96</v>
      </c>
      <c r="G130" s="26" t="s">
        <v>198</v>
      </c>
      <c r="H130" s="28" t="str">
        <f>IF(COUNTIFS(MOVIMIENTOS!$D$5:$D$53,#REF!)=0,"",MAXIFS(MOVIMIENTOS!$B$5:$B$53,MOVIMIENTOS!$D$5:$D$53,#REF!,MOVIMIENTOS!$C$5:$C$53,"&lt;&gt;DEVOLUCION"))</f>
        <v/>
      </c>
      <c r="I130" s="28" t="str">
        <f>IF(COUNTIFS(MOVIMIENTOS!$D$5:$D$53,#REF!,MOVIMIENTOS!$C$5:$C$53,"DEVOLUCION")=0,"",MAXIFS(MOVIMIENTOS!$B$5:$B$53,MOVIMIENTOS!$D$5:$D$53,#REF!,MOVIMIENTOS!$C$5:$C$53,"DEVOLUCION"))</f>
        <v/>
      </c>
      <c r="J130" s="27">
        <f>COUNTIFS(MOVIMIENTOS!$D$5:$D$53,#REF!,MOVIMIENTOS!$C$5:$C$53,"PERDIDA")</f>
        <v>0</v>
      </c>
      <c r="K130" s="27" t="str">
        <f t="shared" si="1"/>
        <v/>
      </c>
      <c r="L130" s="26" t="s">
        <v>96</v>
      </c>
    </row>
    <row r="131" ht="15.75" customHeight="1">
      <c r="A131" s="26" t="s">
        <v>337</v>
      </c>
      <c r="B131" s="26" t="s">
        <v>257</v>
      </c>
      <c r="C131" s="27" t="s">
        <v>104</v>
      </c>
      <c r="D131" s="26" t="s">
        <v>244</v>
      </c>
      <c r="E131" s="27" t="str">
        <f t="array" ref="E131">IFERROR(XLOOKUP(#REF!,PERSONAL!$B$5:$B$135,PERSONAL!$A$5:$A$135),"POR REGISTRAR")</f>
        <v>POR REGISTRAR</v>
      </c>
      <c r="F131" s="26" t="s">
        <v>96</v>
      </c>
      <c r="G131" s="26" t="s">
        <v>198</v>
      </c>
      <c r="H131" s="28" t="str">
        <f>IF(COUNTIFS(MOVIMIENTOS!$D$5:$D$53,#REF!)=0,"",MAXIFS(MOVIMIENTOS!$B$5:$B$53,MOVIMIENTOS!$D$5:$D$53,#REF!,MOVIMIENTOS!$C$5:$C$53,"&lt;&gt;DEVOLUCION"))</f>
        <v/>
      </c>
      <c r="I131" s="28" t="str">
        <f>IF(COUNTIFS(MOVIMIENTOS!$D$5:$D$53,#REF!,MOVIMIENTOS!$C$5:$C$53,"DEVOLUCION")=0,"",MAXIFS(MOVIMIENTOS!$B$5:$B$53,MOVIMIENTOS!$D$5:$D$53,#REF!,MOVIMIENTOS!$C$5:$C$53,"DEVOLUCION"))</f>
        <v/>
      </c>
      <c r="J131" s="27">
        <f>COUNTIFS(MOVIMIENTOS!$D$5:$D$53,#REF!,MOVIMIENTOS!$C$5:$C$53,"PERDIDA")</f>
        <v>0</v>
      </c>
      <c r="K131" s="27" t="str">
        <f t="shared" si="1"/>
        <v/>
      </c>
      <c r="L131" s="26" t="s">
        <v>96</v>
      </c>
    </row>
    <row r="132" ht="15.75" customHeight="1">
      <c r="A132" s="26" t="s">
        <v>338</v>
      </c>
      <c r="B132" s="26" t="s">
        <v>257</v>
      </c>
      <c r="C132" s="27" t="s">
        <v>104</v>
      </c>
      <c r="D132" s="26" t="s">
        <v>244</v>
      </c>
      <c r="E132" s="27" t="str">
        <f t="array" ref="E132">IFERROR(XLOOKUP(#REF!,PERSONAL!$B$5:$B$135,PERSONAL!$A$5:$A$135),"POR REGISTRAR")</f>
        <v>POR REGISTRAR</v>
      </c>
      <c r="F132" s="26" t="s">
        <v>96</v>
      </c>
      <c r="G132" s="26" t="s">
        <v>198</v>
      </c>
      <c r="H132" s="28" t="str">
        <f>IF(COUNTIFS(MOVIMIENTOS!$D$5:$D$53,#REF!)=0,"",MAXIFS(MOVIMIENTOS!$B$5:$B$53,MOVIMIENTOS!$D$5:$D$53,#REF!,MOVIMIENTOS!$C$5:$C$53,"&lt;&gt;DEVOLUCION"))</f>
        <v/>
      </c>
      <c r="I132" s="28" t="str">
        <f>IF(COUNTIFS(MOVIMIENTOS!$D$5:$D$53,#REF!,MOVIMIENTOS!$C$5:$C$53,"DEVOLUCION")=0,"",MAXIFS(MOVIMIENTOS!$B$5:$B$53,MOVIMIENTOS!$D$5:$D$53,#REF!,MOVIMIENTOS!$C$5:$C$53,"DEVOLUCION"))</f>
        <v/>
      </c>
      <c r="J132" s="27">
        <f>COUNTIFS(MOVIMIENTOS!$D$5:$D$53,#REF!,MOVIMIENTOS!$C$5:$C$53,"PERDIDA")</f>
        <v>0</v>
      </c>
      <c r="K132" s="27" t="str">
        <f t="shared" si="1"/>
        <v/>
      </c>
      <c r="L132" s="26" t="s">
        <v>339</v>
      </c>
    </row>
    <row r="133" ht="15.75" customHeight="1">
      <c r="A133" s="26" t="s">
        <v>340</v>
      </c>
      <c r="B133" s="26" t="s">
        <v>257</v>
      </c>
      <c r="C133" s="27" t="s">
        <v>104</v>
      </c>
      <c r="D133" s="26" t="s">
        <v>244</v>
      </c>
      <c r="E133" s="27" t="str">
        <f t="array" ref="E133">IFERROR(XLOOKUP(#REF!,PERSONAL!$B$5:$B$135,PERSONAL!$A$5:$A$135),"POR REGISTRAR")</f>
        <v>POR REGISTRAR</v>
      </c>
      <c r="F133" s="26" t="s">
        <v>96</v>
      </c>
      <c r="G133" s="26" t="s">
        <v>198</v>
      </c>
      <c r="H133" s="28" t="str">
        <f>IF(COUNTIFS(MOVIMIENTOS!$D$5:$D$53,#REF!)=0,"",MAXIFS(MOVIMIENTOS!$B$5:$B$53,MOVIMIENTOS!$D$5:$D$53,#REF!,MOVIMIENTOS!$C$5:$C$53,"&lt;&gt;DEVOLUCION"))</f>
        <v/>
      </c>
      <c r="I133" s="28" t="str">
        <f>IF(COUNTIFS(MOVIMIENTOS!$D$5:$D$53,#REF!,MOVIMIENTOS!$C$5:$C$53,"DEVOLUCION")=0,"",MAXIFS(MOVIMIENTOS!$B$5:$B$53,MOVIMIENTOS!$D$5:$D$53,#REF!,MOVIMIENTOS!$C$5:$C$53,"DEVOLUCION"))</f>
        <v/>
      </c>
      <c r="J133" s="27">
        <f>COUNTIFS(MOVIMIENTOS!$D$5:$D$53,#REF!,MOVIMIENTOS!$C$5:$C$53,"PERDIDA")</f>
        <v>0</v>
      </c>
      <c r="K133" s="27" t="str">
        <f t="shared" si="1"/>
        <v/>
      </c>
      <c r="L133" s="26" t="s">
        <v>339</v>
      </c>
    </row>
    <row r="134" ht="15.75" customHeight="1">
      <c r="A134" s="26" t="s">
        <v>341</v>
      </c>
      <c r="B134" s="26" t="s">
        <v>257</v>
      </c>
      <c r="C134" s="27" t="s">
        <v>104</v>
      </c>
      <c r="D134" s="26" t="s">
        <v>244</v>
      </c>
      <c r="E134" s="27" t="str">
        <f t="array" ref="E134">IFERROR(XLOOKUP(#REF!,PERSONAL!$B$5:$B$135,PERSONAL!$A$5:$A$135),"POR REGISTRAR")</f>
        <v>POR REGISTRAR</v>
      </c>
      <c r="F134" s="26" t="s">
        <v>96</v>
      </c>
      <c r="G134" s="26" t="s">
        <v>198</v>
      </c>
      <c r="H134" s="28" t="str">
        <f>IF(COUNTIFS(MOVIMIENTOS!$D$5:$D$53,#REF!)=0,"",MAXIFS(MOVIMIENTOS!$B$5:$B$53,MOVIMIENTOS!$D$5:$D$53,#REF!,MOVIMIENTOS!$C$5:$C$53,"&lt;&gt;DEVOLUCION"))</f>
        <v/>
      </c>
      <c r="I134" s="28" t="str">
        <f>IF(COUNTIFS(MOVIMIENTOS!$D$5:$D$53,#REF!,MOVIMIENTOS!$C$5:$C$53,"DEVOLUCION")=0,"",MAXIFS(MOVIMIENTOS!$B$5:$B$53,MOVIMIENTOS!$D$5:$D$53,#REF!,MOVIMIENTOS!$C$5:$C$53,"DEVOLUCION"))</f>
        <v/>
      </c>
      <c r="J134" s="27">
        <f>COUNTIFS(MOVIMIENTOS!$D$5:$D$53,#REF!,MOVIMIENTOS!$C$5:$C$53,"PERDIDA")</f>
        <v>0</v>
      </c>
      <c r="K134" s="27" t="str">
        <f t="shared" si="1"/>
        <v/>
      </c>
      <c r="L134" s="26" t="s">
        <v>339</v>
      </c>
    </row>
    <row r="135" ht="15.75" customHeight="1">
      <c r="A135" s="26" t="s">
        <v>342</v>
      </c>
      <c r="B135" s="26" t="s">
        <v>257</v>
      </c>
      <c r="C135" s="27" t="s">
        <v>104</v>
      </c>
      <c r="D135" s="26" t="s">
        <v>244</v>
      </c>
      <c r="E135" s="27" t="str">
        <f t="array" ref="E135">IFERROR(XLOOKUP(#REF!,PERSONAL!$B$5:$B$135,PERSONAL!$A$5:$A$135),"POR REGISTRAR")</f>
        <v>POR REGISTRAR</v>
      </c>
      <c r="F135" s="26" t="s">
        <v>96</v>
      </c>
      <c r="G135" s="26" t="s">
        <v>198</v>
      </c>
      <c r="H135" s="28" t="str">
        <f>IF(COUNTIFS(MOVIMIENTOS!$D$5:$D$53,#REF!)=0,"",MAXIFS(MOVIMIENTOS!$B$5:$B$53,MOVIMIENTOS!$D$5:$D$53,#REF!,MOVIMIENTOS!$C$5:$C$53,"&lt;&gt;DEVOLUCION"))</f>
        <v/>
      </c>
      <c r="I135" s="28" t="str">
        <f>IF(COUNTIFS(MOVIMIENTOS!$D$5:$D$53,#REF!,MOVIMIENTOS!$C$5:$C$53,"DEVOLUCION")=0,"",MAXIFS(MOVIMIENTOS!$B$5:$B$53,MOVIMIENTOS!$D$5:$D$53,#REF!,MOVIMIENTOS!$C$5:$C$53,"DEVOLUCION"))</f>
        <v/>
      </c>
      <c r="J135" s="27">
        <f>COUNTIFS(MOVIMIENTOS!$D$5:$D$53,#REF!,MOVIMIENTOS!$C$5:$C$53,"PERDIDA")</f>
        <v>0</v>
      </c>
      <c r="K135" s="27" t="str">
        <f t="shared" si="1"/>
        <v/>
      </c>
      <c r="L135" s="26" t="s">
        <v>339</v>
      </c>
    </row>
    <row r="136" ht="15.75" customHeight="1">
      <c r="A136" s="26" t="s">
        <v>343</v>
      </c>
      <c r="B136" s="26" t="s">
        <v>257</v>
      </c>
      <c r="C136" s="27" t="s">
        <v>104</v>
      </c>
      <c r="D136" s="26" t="s">
        <v>244</v>
      </c>
      <c r="E136" s="27" t="str">
        <f t="array" ref="E136">IFERROR(XLOOKUP(#REF!,PERSONAL!$B$5:$B$135,PERSONAL!$A$5:$A$135),"POR REGISTRAR")</f>
        <v>POR REGISTRAR</v>
      </c>
      <c r="F136" s="26" t="s">
        <v>96</v>
      </c>
      <c r="G136" s="26" t="s">
        <v>198</v>
      </c>
      <c r="H136" s="28" t="str">
        <f>IF(COUNTIFS(MOVIMIENTOS!$D$5:$D$53,#REF!)=0,"",MAXIFS(MOVIMIENTOS!$B$5:$B$53,MOVIMIENTOS!$D$5:$D$53,#REF!,MOVIMIENTOS!$C$5:$C$53,"&lt;&gt;DEVOLUCION"))</f>
        <v/>
      </c>
      <c r="I136" s="28" t="str">
        <f>IF(COUNTIFS(MOVIMIENTOS!$D$5:$D$53,#REF!,MOVIMIENTOS!$C$5:$C$53,"DEVOLUCION")=0,"",MAXIFS(MOVIMIENTOS!$B$5:$B$53,MOVIMIENTOS!$D$5:$D$53,#REF!,MOVIMIENTOS!$C$5:$C$53,"DEVOLUCION"))</f>
        <v/>
      </c>
      <c r="J136" s="27">
        <f>COUNTIFS(MOVIMIENTOS!$D$5:$D$53,#REF!,MOVIMIENTOS!$C$5:$C$53,"PERDIDA")</f>
        <v>0</v>
      </c>
      <c r="K136" s="27" t="str">
        <f t="shared" si="1"/>
        <v/>
      </c>
      <c r="L136" s="26" t="s">
        <v>339</v>
      </c>
    </row>
    <row r="137" ht="15.75" customHeight="1">
      <c r="A137" s="26" t="s">
        <v>344</v>
      </c>
      <c r="B137" s="26" t="s">
        <v>257</v>
      </c>
      <c r="C137" s="27" t="s">
        <v>104</v>
      </c>
      <c r="D137" s="26" t="s">
        <v>244</v>
      </c>
      <c r="E137" s="27" t="str">
        <f t="array" ref="E137">IFERROR(XLOOKUP(#REF!,PERSONAL!$B$5:$B$135,PERSONAL!$A$5:$A$135),"POR REGISTRAR")</f>
        <v>POR REGISTRAR</v>
      </c>
      <c r="F137" s="26" t="s">
        <v>96</v>
      </c>
      <c r="G137" s="26" t="s">
        <v>198</v>
      </c>
      <c r="H137" s="28" t="str">
        <f>IF(COUNTIFS(MOVIMIENTOS!$D$5:$D$53,#REF!)=0,"",MAXIFS(MOVIMIENTOS!$B$5:$B$53,MOVIMIENTOS!$D$5:$D$53,#REF!,MOVIMIENTOS!$C$5:$C$53,"&lt;&gt;DEVOLUCION"))</f>
        <v/>
      </c>
      <c r="I137" s="28" t="str">
        <f>IF(COUNTIFS(MOVIMIENTOS!$D$5:$D$53,#REF!,MOVIMIENTOS!$C$5:$C$53,"DEVOLUCION")=0,"",MAXIFS(MOVIMIENTOS!$B$5:$B$53,MOVIMIENTOS!$D$5:$D$53,#REF!,MOVIMIENTOS!$C$5:$C$53,"DEVOLUCION"))</f>
        <v/>
      </c>
      <c r="J137" s="27">
        <f>COUNTIFS(MOVIMIENTOS!$D$5:$D$53,#REF!,MOVIMIENTOS!$C$5:$C$53,"PERDIDA")</f>
        <v>0</v>
      </c>
      <c r="K137" s="27" t="str">
        <f t="shared" si="1"/>
        <v/>
      </c>
      <c r="L137" s="26" t="s">
        <v>339</v>
      </c>
    </row>
    <row r="138" ht="15.75" customHeight="1">
      <c r="A138" s="26" t="s">
        <v>345</v>
      </c>
      <c r="B138" s="26" t="s">
        <v>257</v>
      </c>
      <c r="C138" s="27" t="s">
        <v>104</v>
      </c>
      <c r="D138" s="26" t="s">
        <v>244</v>
      </c>
      <c r="E138" s="27" t="str">
        <f t="array" ref="E138">IFERROR(XLOOKUP(#REF!,PERSONAL!$B$5:$B$135,PERSONAL!$A$5:$A$135),"POR REGISTRAR")</f>
        <v>POR REGISTRAR</v>
      </c>
      <c r="F138" s="26" t="s">
        <v>96</v>
      </c>
      <c r="G138" s="26" t="s">
        <v>198</v>
      </c>
      <c r="H138" s="28" t="str">
        <f>IF(COUNTIFS(MOVIMIENTOS!$D$5:$D$53,#REF!)=0,"",MAXIFS(MOVIMIENTOS!$B$5:$B$53,MOVIMIENTOS!$D$5:$D$53,#REF!,MOVIMIENTOS!$C$5:$C$53,"&lt;&gt;DEVOLUCION"))</f>
        <v/>
      </c>
      <c r="I138" s="28" t="str">
        <f>IF(COUNTIFS(MOVIMIENTOS!$D$5:$D$53,#REF!,MOVIMIENTOS!$C$5:$C$53,"DEVOLUCION")=0,"",MAXIFS(MOVIMIENTOS!$B$5:$B$53,MOVIMIENTOS!$D$5:$D$53,#REF!,MOVIMIENTOS!$C$5:$C$53,"DEVOLUCION"))</f>
        <v/>
      </c>
      <c r="J138" s="27">
        <f>COUNTIFS(MOVIMIENTOS!$D$5:$D$53,#REF!,MOVIMIENTOS!$C$5:$C$53,"PERDIDA")</f>
        <v>0</v>
      </c>
      <c r="K138" s="27" t="str">
        <f t="shared" si="1"/>
        <v/>
      </c>
      <c r="L138" s="26" t="s">
        <v>339</v>
      </c>
    </row>
    <row r="139" ht="15.75" customHeight="1">
      <c r="A139" s="26" t="s">
        <v>346</v>
      </c>
      <c r="B139" s="26" t="s">
        <v>257</v>
      </c>
      <c r="C139" s="27" t="s">
        <v>104</v>
      </c>
      <c r="D139" s="26" t="s">
        <v>244</v>
      </c>
      <c r="E139" s="27" t="str">
        <f t="array" ref="E139">IFERROR(XLOOKUP(#REF!,PERSONAL!$B$5:$B$135,PERSONAL!$A$5:$A$135),"POR REGISTRAR")</f>
        <v>POR REGISTRAR</v>
      </c>
      <c r="F139" s="26" t="s">
        <v>96</v>
      </c>
      <c r="G139" s="26" t="s">
        <v>198</v>
      </c>
      <c r="H139" s="28" t="str">
        <f>IF(COUNTIFS(MOVIMIENTOS!$D$5:$D$53,#REF!)=0,"",MAXIFS(MOVIMIENTOS!$B$5:$B$53,MOVIMIENTOS!$D$5:$D$53,#REF!,MOVIMIENTOS!$C$5:$C$53,"&lt;&gt;DEVOLUCION"))</f>
        <v/>
      </c>
      <c r="I139" s="28" t="str">
        <f>IF(COUNTIFS(MOVIMIENTOS!$D$5:$D$53,#REF!,MOVIMIENTOS!$C$5:$C$53,"DEVOLUCION")=0,"",MAXIFS(MOVIMIENTOS!$B$5:$B$53,MOVIMIENTOS!$D$5:$D$53,#REF!,MOVIMIENTOS!$C$5:$C$53,"DEVOLUCION"))</f>
        <v/>
      </c>
      <c r="J139" s="27">
        <f>COUNTIFS(MOVIMIENTOS!$D$5:$D$53,#REF!,MOVIMIENTOS!$C$5:$C$53,"PERDIDA")</f>
        <v>0</v>
      </c>
      <c r="K139" s="27" t="str">
        <f t="shared" si="1"/>
        <v/>
      </c>
      <c r="L139" s="26" t="s">
        <v>339</v>
      </c>
    </row>
    <row r="140" ht="15.75" customHeight="1">
      <c r="A140" s="26" t="s">
        <v>347</v>
      </c>
      <c r="B140" s="26" t="s">
        <v>257</v>
      </c>
      <c r="C140" s="27" t="s">
        <v>104</v>
      </c>
      <c r="D140" s="26" t="s">
        <v>244</v>
      </c>
      <c r="E140" s="27" t="str">
        <f t="array" ref="E140">IFERROR(XLOOKUP(#REF!,PERSONAL!$B$5:$B$135,PERSONAL!$A$5:$A$135),"POR REGISTRAR")</f>
        <v>POR REGISTRAR</v>
      </c>
      <c r="F140" s="26" t="s">
        <v>96</v>
      </c>
      <c r="G140" s="26" t="s">
        <v>198</v>
      </c>
      <c r="H140" s="28" t="str">
        <f>IF(COUNTIFS(MOVIMIENTOS!$D$5:$D$53,#REF!)=0,"",MAXIFS(MOVIMIENTOS!$B$5:$B$53,MOVIMIENTOS!$D$5:$D$53,#REF!,MOVIMIENTOS!$C$5:$C$53,"&lt;&gt;DEVOLUCION"))</f>
        <v/>
      </c>
      <c r="I140" s="28" t="str">
        <f>IF(COUNTIFS(MOVIMIENTOS!$D$5:$D$53,#REF!,MOVIMIENTOS!$C$5:$C$53,"DEVOLUCION")=0,"",MAXIFS(MOVIMIENTOS!$B$5:$B$53,MOVIMIENTOS!$D$5:$D$53,#REF!,MOVIMIENTOS!$C$5:$C$53,"DEVOLUCION"))</f>
        <v/>
      </c>
      <c r="J140" s="27">
        <f>COUNTIFS(MOVIMIENTOS!$D$5:$D$53,#REF!,MOVIMIENTOS!$C$5:$C$53,"PERDIDA")</f>
        <v>0</v>
      </c>
      <c r="K140" s="27" t="str">
        <f t="shared" si="1"/>
        <v/>
      </c>
      <c r="L140" s="26" t="s">
        <v>339</v>
      </c>
    </row>
    <row r="141" ht="15.75" customHeight="1">
      <c r="A141" s="26" t="s">
        <v>348</v>
      </c>
      <c r="B141" s="26" t="s">
        <v>257</v>
      </c>
      <c r="C141" s="27" t="s">
        <v>104</v>
      </c>
      <c r="D141" s="26" t="s">
        <v>244</v>
      </c>
      <c r="E141" s="27" t="str">
        <f t="array" ref="E141">IFERROR(XLOOKUP(#REF!,PERSONAL!$B$5:$B$135,PERSONAL!$A$5:$A$135),"POR REGISTRAR")</f>
        <v>POR REGISTRAR</v>
      </c>
      <c r="F141" s="26" t="s">
        <v>96</v>
      </c>
      <c r="G141" s="26" t="s">
        <v>198</v>
      </c>
      <c r="H141" s="28" t="str">
        <f>IF(COUNTIFS(MOVIMIENTOS!$D$5:$D$53,#REF!)=0,"",MAXIFS(MOVIMIENTOS!$B$5:$B$53,MOVIMIENTOS!$D$5:$D$53,#REF!,MOVIMIENTOS!$C$5:$C$53,"&lt;&gt;DEVOLUCION"))</f>
        <v/>
      </c>
      <c r="I141" s="28" t="str">
        <f>IF(COUNTIFS(MOVIMIENTOS!$D$5:$D$53,#REF!,MOVIMIENTOS!$C$5:$C$53,"DEVOLUCION")=0,"",MAXIFS(MOVIMIENTOS!$B$5:$B$53,MOVIMIENTOS!$D$5:$D$53,#REF!,MOVIMIENTOS!$C$5:$C$53,"DEVOLUCION"))</f>
        <v/>
      </c>
      <c r="J141" s="27">
        <f>COUNTIFS(MOVIMIENTOS!$D$5:$D$53,#REF!,MOVIMIENTOS!$C$5:$C$53,"PERDIDA")</f>
        <v>0</v>
      </c>
      <c r="K141" s="27" t="str">
        <f t="shared" si="1"/>
        <v/>
      </c>
      <c r="L141" s="26" t="s">
        <v>339</v>
      </c>
    </row>
    <row r="142" ht="15.75" customHeight="1">
      <c r="A142" s="26" t="s">
        <v>349</v>
      </c>
      <c r="B142" s="26" t="s">
        <v>257</v>
      </c>
      <c r="C142" s="27" t="s">
        <v>104</v>
      </c>
      <c r="D142" s="26" t="s">
        <v>244</v>
      </c>
      <c r="E142" s="27" t="str">
        <f t="array" ref="E142">IFERROR(XLOOKUP(#REF!,PERSONAL!$B$5:$B$135,PERSONAL!$A$5:$A$135),"POR REGISTRAR")</f>
        <v>POR REGISTRAR</v>
      </c>
      <c r="F142" s="26" t="s">
        <v>96</v>
      </c>
      <c r="G142" s="26" t="s">
        <v>198</v>
      </c>
      <c r="H142" s="28" t="str">
        <f>IF(COUNTIFS(MOVIMIENTOS!$D$5:$D$53,#REF!)=0,"",MAXIFS(MOVIMIENTOS!$B$5:$B$53,MOVIMIENTOS!$D$5:$D$53,#REF!,MOVIMIENTOS!$C$5:$C$53,"&lt;&gt;DEVOLUCION"))</f>
        <v/>
      </c>
      <c r="I142" s="28" t="str">
        <f>IF(COUNTIFS(MOVIMIENTOS!$D$5:$D$53,#REF!,MOVIMIENTOS!$C$5:$C$53,"DEVOLUCION")=0,"",MAXIFS(MOVIMIENTOS!$B$5:$B$53,MOVIMIENTOS!$D$5:$D$53,#REF!,MOVIMIENTOS!$C$5:$C$53,"DEVOLUCION"))</f>
        <v/>
      </c>
      <c r="J142" s="27">
        <f>COUNTIFS(MOVIMIENTOS!$D$5:$D$53,#REF!,MOVIMIENTOS!$C$5:$C$53,"PERDIDA")</f>
        <v>0</v>
      </c>
      <c r="K142" s="27" t="str">
        <f t="shared" si="1"/>
        <v/>
      </c>
      <c r="L142" s="26" t="s">
        <v>339</v>
      </c>
    </row>
    <row r="143" ht="15.75" customHeight="1">
      <c r="A143" s="26" t="s">
        <v>350</v>
      </c>
      <c r="B143" s="26" t="s">
        <v>257</v>
      </c>
      <c r="C143" s="27" t="s">
        <v>104</v>
      </c>
      <c r="D143" s="26" t="s">
        <v>244</v>
      </c>
      <c r="E143" s="27" t="str">
        <f t="array" ref="E143">IFERROR(XLOOKUP(#REF!,PERSONAL!$B$5:$B$135,PERSONAL!$A$5:$A$135),"POR REGISTRAR")</f>
        <v>POR REGISTRAR</v>
      </c>
      <c r="F143" s="26" t="s">
        <v>96</v>
      </c>
      <c r="G143" s="26" t="s">
        <v>198</v>
      </c>
      <c r="H143" s="28" t="str">
        <f>IF(COUNTIFS(MOVIMIENTOS!$D$5:$D$53,#REF!)=0,"",MAXIFS(MOVIMIENTOS!$B$5:$B$53,MOVIMIENTOS!$D$5:$D$53,#REF!,MOVIMIENTOS!$C$5:$C$53,"&lt;&gt;DEVOLUCION"))</f>
        <v/>
      </c>
      <c r="I143" s="28" t="str">
        <f>IF(COUNTIFS(MOVIMIENTOS!$D$5:$D$53,#REF!,MOVIMIENTOS!$C$5:$C$53,"DEVOLUCION")=0,"",MAXIFS(MOVIMIENTOS!$B$5:$B$53,MOVIMIENTOS!$D$5:$D$53,#REF!,MOVIMIENTOS!$C$5:$C$53,"DEVOLUCION"))</f>
        <v/>
      </c>
      <c r="J143" s="27">
        <f>COUNTIFS(MOVIMIENTOS!$D$5:$D$53,#REF!,MOVIMIENTOS!$C$5:$C$53,"PERDIDA")</f>
        <v>0</v>
      </c>
      <c r="K143" s="27" t="str">
        <f t="shared" si="1"/>
        <v/>
      </c>
      <c r="L143" s="26" t="s">
        <v>339</v>
      </c>
    </row>
    <row r="144" ht="15.75" customHeight="1">
      <c r="A144" s="26" t="s">
        <v>351</v>
      </c>
      <c r="B144" s="26" t="s">
        <v>257</v>
      </c>
      <c r="C144" s="27" t="s">
        <v>104</v>
      </c>
      <c r="D144" s="26" t="s">
        <v>244</v>
      </c>
      <c r="E144" s="27" t="str">
        <f t="array" ref="E144">IFERROR(XLOOKUP(#REF!,PERSONAL!$B$5:$B$135,PERSONAL!$A$5:$A$135),"POR REGISTRAR")</f>
        <v>POR REGISTRAR</v>
      </c>
      <c r="F144" s="26" t="s">
        <v>96</v>
      </c>
      <c r="G144" s="26" t="s">
        <v>198</v>
      </c>
      <c r="H144" s="28" t="str">
        <f>IF(COUNTIFS(MOVIMIENTOS!$D$5:$D$53,#REF!)=0,"",MAXIFS(MOVIMIENTOS!$B$5:$B$53,MOVIMIENTOS!$D$5:$D$53,#REF!,MOVIMIENTOS!$C$5:$C$53,"&lt;&gt;DEVOLUCION"))</f>
        <v/>
      </c>
      <c r="I144" s="28" t="str">
        <f>IF(COUNTIFS(MOVIMIENTOS!$D$5:$D$53,#REF!,MOVIMIENTOS!$C$5:$C$53,"DEVOLUCION")=0,"",MAXIFS(MOVIMIENTOS!$B$5:$B$53,MOVIMIENTOS!$D$5:$D$53,#REF!,MOVIMIENTOS!$C$5:$C$53,"DEVOLUCION"))</f>
        <v/>
      </c>
      <c r="J144" s="27">
        <f>COUNTIFS(MOVIMIENTOS!$D$5:$D$53,#REF!,MOVIMIENTOS!$C$5:$C$53,"PERDIDA")</f>
        <v>0</v>
      </c>
      <c r="K144" s="27" t="str">
        <f t="shared" si="1"/>
        <v/>
      </c>
      <c r="L144" s="26" t="s">
        <v>339</v>
      </c>
    </row>
    <row r="145" ht="15.75" customHeight="1">
      <c r="A145" s="26" t="s">
        <v>352</v>
      </c>
      <c r="B145" s="26" t="s">
        <v>257</v>
      </c>
      <c r="C145" s="27" t="s">
        <v>104</v>
      </c>
      <c r="D145" s="26" t="s">
        <v>244</v>
      </c>
      <c r="E145" s="27" t="str">
        <f t="array" ref="E145">IFERROR(XLOOKUP(#REF!,PERSONAL!$B$5:$B$135,PERSONAL!$A$5:$A$135),"POR REGISTRAR")</f>
        <v>POR REGISTRAR</v>
      </c>
      <c r="F145" s="26" t="s">
        <v>96</v>
      </c>
      <c r="G145" s="26" t="s">
        <v>198</v>
      </c>
      <c r="H145" s="28" t="str">
        <f>IF(COUNTIFS(MOVIMIENTOS!$D$5:$D$53,#REF!)=0,"",MAXIFS(MOVIMIENTOS!$B$5:$B$53,MOVIMIENTOS!$D$5:$D$53,#REF!,MOVIMIENTOS!$C$5:$C$53,"&lt;&gt;DEVOLUCION"))</f>
        <v/>
      </c>
      <c r="I145" s="28" t="str">
        <f>IF(COUNTIFS(MOVIMIENTOS!$D$5:$D$53,#REF!,MOVIMIENTOS!$C$5:$C$53,"DEVOLUCION")=0,"",MAXIFS(MOVIMIENTOS!$B$5:$B$53,MOVIMIENTOS!$D$5:$D$53,#REF!,MOVIMIENTOS!$C$5:$C$53,"DEVOLUCION"))</f>
        <v/>
      </c>
      <c r="J145" s="27">
        <f>COUNTIFS(MOVIMIENTOS!$D$5:$D$53,#REF!,MOVIMIENTOS!$C$5:$C$53,"PERDIDA")</f>
        <v>0</v>
      </c>
      <c r="K145" s="27" t="str">
        <f t="shared" si="1"/>
        <v/>
      </c>
      <c r="L145" s="26" t="s">
        <v>339</v>
      </c>
    </row>
    <row r="146" ht="15.75" customHeight="1">
      <c r="A146" s="26" t="s">
        <v>353</v>
      </c>
      <c r="B146" s="26" t="s">
        <v>257</v>
      </c>
      <c r="C146" s="27" t="s">
        <v>104</v>
      </c>
      <c r="D146" s="26" t="s">
        <v>244</v>
      </c>
      <c r="E146" s="27" t="str">
        <f t="array" ref="E146">IFERROR(XLOOKUP(#REF!,PERSONAL!$B$5:$B$135,PERSONAL!$A$5:$A$135),"POR REGISTRAR")</f>
        <v>POR REGISTRAR</v>
      </c>
      <c r="F146" s="26" t="s">
        <v>96</v>
      </c>
      <c r="G146" s="26" t="s">
        <v>198</v>
      </c>
      <c r="H146" s="28" t="str">
        <f>IF(COUNTIFS(MOVIMIENTOS!$D$5:$D$53,#REF!)=0,"",MAXIFS(MOVIMIENTOS!$B$5:$B$53,MOVIMIENTOS!$D$5:$D$53,#REF!,MOVIMIENTOS!$C$5:$C$53,"&lt;&gt;DEVOLUCION"))</f>
        <v/>
      </c>
      <c r="I146" s="28" t="str">
        <f>IF(COUNTIFS(MOVIMIENTOS!$D$5:$D$53,#REF!,MOVIMIENTOS!$C$5:$C$53,"DEVOLUCION")=0,"",MAXIFS(MOVIMIENTOS!$B$5:$B$53,MOVIMIENTOS!$D$5:$D$53,#REF!,MOVIMIENTOS!$C$5:$C$53,"DEVOLUCION"))</f>
        <v/>
      </c>
      <c r="J146" s="27">
        <f>COUNTIFS(MOVIMIENTOS!$D$5:$D$53,#REF!,MOVIMIENTOS!$C$5:$C$53,"PERDIDA")</f>
        <v>0</v>
      </c>
      <c r="K146" s="27" t="str">
        <f t="shared" si="1"/>
        <v/>
      </c>
      <c r="L146" s="26" t="s">
        <v>339</v>
      </c>
    </row>
    <row r="147" ht="15.75" customHeight="1">
      <c r="A147" s="26" t="s">
        <v>354</v>
      </c>
      <c r="B147" s="26" t="s">
        <v>257</v>
      </c>
      <c r="C147" s="27" t="s">
        <v>104</v>
      </c>
      <c r="D147" s="26" t="s">
        <v>244</v>
      </c>
      <c r="E147" s="27" t="str">
        <f t="array" ref="E147">IFERROR(XLOOKUP(#REF!,PERSONAL!$B$5:$B$135,PERSONAL!$A$5:$A$135),"POR REGISTRAR")</f>
        <v>POR REGISTRAR</v>
      </c>
      <c r="F147" s="26" t="s">
        <v>96</v>
      </c>
      <c r="G147" s="26" t="s">
        <v>198</v>
      </c>
      <c r="H147" s="28" t="str">
        <f>IF(COUNTIFS(MOVIMIENTOS!$D$5:$D$53,#REF!)=0,"",MAXIFS(MOVIMIENTOS!$B$5:$B$53,MOVIMIENTOS!$D$5:$D$53,#REF!,MOVIMIENTOS!$C$5:$C$53,"&lt;&gt;DEVOLUCION"))</f>
        <v/>
      </c>
      <c r="I147" s="28" t="str">
        <f>IF(COUNTIFS(MOVIMIENTOS!$D$5:$D$53,#REF!,MOVIMIENTOS!$C$5:$C$53,"DEVOLUCION")=0,"",MAXIFS(MOVIMIENTOS!$B$5:$B$53,MOVIMIENTOS!$D$5:$D$53,#REF!,MOVIMIENTOS!$C$5:$C$53,"DEVOLUCION"))</f>
        <v/>
      </c>
      <c r="J147" s="27">
        <f>COUNTIFS(MOVIMIENTOS!$D$5:$D$53,#REF!,MOVIMIENTOS!$C$5:$C$53,"PERDIDA")</f>
        <v>0</v>
      </c>
      <c r="K147" s="27" t="str">
        <f t="shared" si="1"/>
        <v/>
      </c>
      <c r="L147" s="26" t="s">
        <v>339</v>
      </c>
    </row>
    <row r="148" ht="15.75" customHeight="1">
      <c r="A148" s="26" t="s">
        <v>355</v>
      </c>
      <c r="B148" s="26" t="s">
        <v>257</v>
      </c>
      <c r="C148" s="27" t="s">
        <v>104</v>
      </c>
      <c r="D148" s="26" t="s">
        <v>244</v>
      </c>
      <c r="E148" s="27" t="str">
        <f t="array" ref="E148">IFERROR(XLOOKUP(#REF!,PERSONAL!$B$5:$B$135,PERSONAL!$A$5:$A$135),"POR REGISTRAR")</f>
        <v>POR REGISTRAR</v>
      </c>
      <c r="F148" s="26" t="s">
        <v>96</v>
      </c>
      <c r="G148" s="26" t="s">
        <v>198</v>
      </c>
      <c r="H148" s="28" t="str">
        <f>IF(COUNTIFS(MOVIMIENTOS!$D$5:$D$53,#REF!)=0,"",MAXIFS(MOVIMIENTOS!$B$5:$B$53,MOVIMIENTOS!$D$5:$D$53,#REF!,MOVIMIENTOS!$C$5:$C$53,"&lt;&gt;DEVOLUCION"))</f>
        <v/>
      </c>
      <c r="I148" s="28" t="str">
        <f>IF(COUNTIFS(MOVIMIENTOS!$D$5:$D$53,#REF!,MOVIMIENTOS!$C$5:$C$53,"DEVOLUCION")=0,"",MAXIFS(MOVIMIENTOS!$B$5:$B$53,MOVIMIENTOS!$D$5:$D$53,#REF!,MOVIMIENTOS!$C$5:$C$53,"DEVOLUCION"))</f>
        <v/>
      </c>
      <c r="J148" s="27">
        <f>COUNTIFS(MOVIMIENTOS!$D$5:$D$53,#REF!,MOVIMIENTOS!$C$5:$C$53,"PERDIDA")</f>
        <v>0</v>
      </c>
      <c r="K148" s="27" t="str">
        <f t="shared" si="1"/>
        <v/>
      </c>
      <c r="L148" s="26" t="s">
        <v>339</v>
      </c>
    </row>
    <row r="149" ht="15.75" customHeight="1">
      <c r="A149" s="26" t="s">
        <v>356</v>
      </c>
      <c r="B149" s="26" t="s">
        <v>257</v>
      </c>
      <c r="C149" s="27" t="s">
        <v>104</v>
      </c>
      <c r="D149" s="26" t="s">
        <v>244</v>
      </c>
      <c r="E149" s="27" t="str">
        <f t="array" ref="E149">IFERROR(XLOOKUP(#REF!,PERSONAL!$B$5:$B$135,PERSONAL!$A$5:$A$135),"POR REGISTRAR")</f>
        <v>POR REGISTRAR</v>
      </c>
      <c r="F149" s="26" t="s">
        <v>96</v>
      </c>
      <c r="G149" s="26" t="s">
        <v>198</v>
      </c>
      <c r="H149" s="28" t="str">
        <f>IF(COUNTIFS(MOVIMIENTOS!$D$5:$D$53,#REF!)=0,"",MAXIFS(MOVIMIENTOS!$B$5:$B$53,MOVIMIENTOS!$D$5:$D$53,#REF!,MOVIMIENTOS!$C$5:$C$53,"&lt;&gt;DEVOLUCION"))</f>
        <v/>
      </c>
      <c r="I149" s="28" t="str">
        <f>IF(COUNTIFS(MOVIMIENTOS!$D$5:$D$53,#REF!,MOVIMIENTOS!$C$5:$C$53,"DEVOLUCION")=0,"",MAXIFS(MOVIMIENTOS!$B$5:$B$53,MOVIMIENTOS!$D$5:$D$53,#REF!,MOVIMIENTOS!$C$5:$C$53,"DEVOLUCION"))</f>
        <v/>
      </c>
      <c r="J149" s="27">
        <f>COUNTIFS(MOVIMIENTOS!$D$5:$D$53,#REF!,MOVIMIENTOS!$C$5:$C$53,"PERDIDA")</f>
        <v>0</v>
      </c>
      <c r="K149" s="27" t="str">
        <f t="shared" si="1"/>
        <v/>
      </c>
      <c r="L149" s="26" t="s">
        <v>339</v>
      </c>
    </row>
    <row r="150" ht="15.75" customHeight="1">
      <c r="A150" s="26" t="s">
        <v>357</v>
      </c>
      <c r="B150" s="26" t="s">
        <v>257</v>
      </c>
      <c r="C150" s="27" t="s">
        <v>104</v>
      </c>
      <c r="D150" s="26" t="s">
        <v>244</v>
      </c>
      <c r="E150" s="27" t="str">
        <f t="array" ref="E150">IFERROR(XLOOKUP(#REF!,PERSONAL!$B$5:$B$135,PERSONAL!$A$5:$A$135),"POR REGISTRAR")</f>
        <v>POR REGISTRAR</v>
      </c>
      <c r="F150" s="26" t="s">
        <v>96</v>
      </c>
      <c r="G150" s="26" t="s">
        <v>198</v>
      </c>
      <c r="H150" s="28" t="str">
        <f>IF(COUNTIFS(MOVIMIENTOS!$D$5:$D$53,#REF!)=0,"",MAXIFS(MOVIMIENTOS!$B$5:$B$53,MOVIMIENTOS!$D$5:$D$53,#REF!,MOVIMIENTOS!$C$5:$C$53,"&lt;&gt;DEVOLUCION"))</f>
        <v/>
      </c>
      <c r="I150" s="28" t="str">
        <f>IF(COUNTIFS(MOVIMIENTOS!$D$5:$D$53,#REF!,MOVIMIENTOS!$C$5:$C$53,"DEVOLUCION")=0,"",MAXIFS(MOVIMIENTOS!$B$5:$B$53,MOVIMIENTOS!$D$5:$D$53,#REF!,MOVIMIENTOS!$C$5:$C$53,"DEVOLUCION"))</f>
        <v/>
      </c>
      <c r="J150" s="27">
        <f>COUNTIFS(MOVIMIENTOS!$D$5:$D$53,#REF!,MOVIMIENTOS!$C$5:$C$53,"PERDIDA")</f>
        <v>0</v>
      </c>
      <c r="K150" s="27" t="str">
        <f t="shared" si="1"/>
        <v/>
      </c>
      <c r="L150" s="26" t="s">
        <v>339</v>
      </c>
    </row>
    <row r="151" ht="15.75" customHeight="1">
      <c r="A151" s="26" t="s">
        <v>358</v>
      </c>
      <c r="B151" s="26" t="s">
        <v>257</v>
      </c>
      <c r="C151" s="27" t="s">
        <v>104</v>
      </c>
      <c r="D151" s="26" t="s">
        <v>244</v>
      </c>
      <c r="E151" s="27" t="str">
        <f t="array" ref="E151">IFERROR(XLOOKUP(#REF!,PERSONAL!$B$5:$B$135,PERSONAL!$A$5:$A$135),"POR REGISTRAR")</f>
        <v>POR REGISTRAR</v>
      </c>
      <c r="F151" s="26" t="s">
        <v>96</v>
      </c>
      <c r="G151" s="26" t="s">
        <v>198</v>
      </c>
      <c r="H151" s="28" t="str">
        <f>IF(COUNTIFS(MOVIMIENTOS!$D$5:$D$53,#REF!)=0,"",MAXIFS(MOVIMIENTOS!$B$5:$B$53,MOVIMIENTOS!$D$5:$D$53,#REF!,MOVIMIENTOS!$C$5:$C$53,"&lt;&gt;DEVOLUCION"))</f>
        <v/>
      </c>
      <c r="I151" s="28" t="str">
        <f>IF(COUNTIFS(MOVIMIENTOS!$D$5:$D$53,#REF!,MOVIMIENTOS!$C$5:$C$53,"DEVOLUCION")=0,"",MAXIFS(MOVIMIENTOS!$B$5:$B$53,MOVIMIENTOS!$D$5:$D$53,#REF!,MOVIMIENTOS!$C$5:$C$53,"DEVOLUCION"))</f>
        <v/>
      </c>
      <c r="J151" s="27">
        <f>COUNTIFS(MOVIMIENTOS!$D$5:$D$53,#REF!,MOVIMIENTOS!$C$5:$C$53,"PERDIDA")</f>
        <v>0</v>
      </c>
      <c r="K151" s="27" t="str">
        <f t="shared" si="1"/>
        <v/>
      </c>
      <c r="L151" s="26" t="s">
        <v>339</v>
      </c>
    </row>
    <row r="152" ht="15.75" customHeight="1">
      <c r="A152" s="26" t="s">
        <v>359</v>
      </c>
      <c r="B152" s="26" t="s">
        <v>257</v>
      </c>
      <c r="C152" s="27" t="s">
        <v>104</v>
      </c>
      <c r="D152" s="26" t="s">
        <v>244</v>
      </c>
      <c r="E152" s="27" t="str">
        <f t="array" ref="E152">IFERROR(XLOOKUP(#REF!,PERSONAL!$B$5:$B$135,PERSONAL!$A$5:$A$135),"POR REGISTRAR")</f>
        <v>POR REGISTRAR</v>
      </c>
      <c r="F152" s="26" t="s">
        <v>96</v>
      </c>
      <c r="G152" s="26" t="s">
        <v>198</v>
      </c>
      <c r="H152" s="28" t="str">
        <f>IF(COUNTIFS(MOVIMIENTOS!$D$5:$D$53,#REF!)=0,"",MAXIFS(MOVIMIENTOS!$B$5:$B$53,MOVIMIENTOS!$D$5:$D$53,#REF!,MOVIMIENTOS!$C$5:$C$53,"&lt;&gt;DEVOLUCION"))</f>
        <v/>
      </c>
      <c r="I152" s="28" t="str">
        <f>IF(COUNTIFS(MOVIMIENTOS!$D$5:$D$53,#REF!,MOVIMIENTOS!$C$5:$C$53,"DEVOLUCION")=0,"",MAXIFS(MOVIMIENTOS!$B$5:$B$53,MOVIMIENTOS!$D$5:$D$53,#REF!,MOVIMIENTOS!$C$5:$C$53,"DEVOLUCION"))</f>
        <v/>
      </c>
      <c r="J152" s="27">
        <f>COUNTIFS(MOVIMIENTOS!$D$5:$D$53,#REF!,MOVIMIENTOS!$C$5:$C$53,"PERDIDA")</f>
        <v>0</v>
      </c>
      <c r="K152" s="27" t="str">
        <f t="shared" si="1"/>
        <v/>
      </c>
      <c r="L152" s="26" t="s">
        <v>339</v>
      </c>
    </row>
    <row r="153" ht="15.75" customHeight="1">
      <c r="A153" s="26" t="s">
        <v>360</v>
      </c>
      <c r="B153" s="26" t="s">
        <v>257</v>
      </c>
      <c r="C153" s="27" t="s">
        <v>104</v>
      </c>
      <c r="D153" s="26" t="s">
        <v>244</v>
      </c>
      <c r="E153" s="27" t="str">
        <f t="array" ref="E153">IFERROR(XLOOKUP(#REF!,PERSONAL!$B$5:$B$135,PERSONAL!$A$5:$A$135),"POR REGISTRAR")</f>
        <v>POR REGISTRAR</v>
      </c>
      <c r="F153" s="26" t="s">
        <v>96</v>
      </c>
      <c r="G153" s="26" t="s">
        <v>198</v>
      </c>
      <c r="H153" s="28" t="str">
        <f>IF(COUNTIFS(MOVIMIENTOS!$D$5:$D$53,#REF!)=0,"",MAXIFS(MOVIMIENTOS!$B$5:$B$53,MOVIMIENTOS!$D$5:$D$53,#REF!,MOVIMIENTOS!$C$5:$C$53,"&lt;&gt;DEVOLUCION"))</f>
        <v/>
      </c>
      <c r="I153" s="28" t="str">
        <f>IF(COUNTIFS(MOVIMIENTOS!$D$5:$D$53,#REF!,MOVIMIENTOS!$C$5:$C$53,"DEVOLUCION")=0,"",MAXIFS(MOVIMIENTOS!$B$5:$B$53,MOVIMIENTOS!$D$5:$D$53,#REF!,MOVIMIENTOS!$C$5:$C$53,"DEVOLUCION"))</f>
        <v/>
      </c>
      <c r="J153" s="27">
        <f>COUNTIFS(MOVIMIENTOS!$D$5:$D$53,#REF!,MOVIMIENTOS!$C$5:$C$53,"PERDIDA")</f>
        <v>0</v>
      </c>
      <c r="K153" s="27" t="str">
        <f t="shared" si="1"/>
        <v/>
      </c>
      <c r="L153" s="26" t="s">
        <v>339</v>
      </c>
    </row>
    <row r="154" ht="15.75" customHeight="1">
      <c r="A154" s="26" t="s">
        <v>361</v>
      </c>
      <c r="B154" s="26" t="s">
        <v>257</v>
      </c>
      <c r="C154" s="27" t="s">
        <v>104</v>
      </c>
      <c r="D154" s="26" t="s">
        <v>244</v>
      </c>
      <c r="E154" s="27" t="str">
        <f t="array" ref="E154">IFERROR(XLOOKUP(#REF!,PERSONAL!$B$5:$B$135,PERSONAL!$A$5:$A$135),"POR REGISTRAR")</f>
        <v>POR REGISTRAR</v>
      </c>
      <c r="F154" s="26" t="s">
        <v>96</v>
      </c>
      <c r="G154" s="26" t="s">
        <v>198</v>
      </c>
      <c r="H154" s="28" t="str">
        <f>IF(COUNTIFS(MOVIMIENTOS!$D$5:$D$53,#REF!)=0,"",MAXIFS(MOVIMIENTOS!$B$5:$B$53,MOVIMIENTOS!$D$5:$D$53,#REF!,MOVIMIENTOS!$C$5:$C$53,"&lt;&gt;DEVOLUCION"))</f>
        <v/>
      </c>
      <c r="I154" s="28" t="str">
        <f>IF(COUNTIFS(MOVIMIENTOS!$D$5:$D$53,#REF!,MOVIMIENTOS!$C$5:$C$53,"DEVOLUCION")=0,"",MAXIFS(MOVIMIENTOS!$B$5:$B$53,MOVIMIENTOS!$D$5:$D$53,#REF!,MOVIMIENTOS!$C$5:$C$53,"DEVOLUCION"))</f>
        <v/>
      </c>
      <c r="J154" s="27">
        <f>COUNTIFS(MOVIMIENTOS!$D$5:$D$53,#REF!,MOVIMIENTOS!$C$5:$C$53,"PERDIDA")</f>
        <v>0</v>
      </c>
      <c r="K154" s="27" t="str">
        <f t="shared" si="1"/>
        <v/>
      </c>
      <c r="L154" s="26" t="s">
        <v>339</v>
      </c>
    </row>
    <row r="155" ht="15.75" customHeight="1">
      <c r="A155" s="26" t="s">
        <v>362</v>
      </c>
      <c r="B155" s="26" t="s">
        <v>257</v>
      </c>
      <c r="C155" s="27" t="s">
        <v>104</v>
      </c>
      <c r="D155" s="26" t="s">
        <v>244</v>
      </c>
      <c r="E155" s="27" t="str">
        <f t="array" ref="E155">IFERROR(XLOOKUP(#REF!,PERSONAL!$B$5:$B$135,PERSONAL!$A$5:$A$135),"POR REGISTRAR")</f>
        <v>POR REGISTRAR</v>
      </c>
      <c r="F155" s="26" t="s">
        <v>96</v>
      </c>
      <c r="G155" s="26" t="s">
        <v>198</v>
      </c>
      <c r="H155" s="28" t="str">
        <f>IF(COUNTIFS(MOVIMIENTOS!$D$5:$D$53,#REF!)=0,"",MAXIFS(MOVIMIENTOS!$B$5:$B$53,MOVIMIENTOS!$D$5:$D$53,#REF!,MOVIMIENTOS!$C$5:$C$53,"&lt;&gt;DEVOLUCION"))</f>
        <v/>
      </c>
      <c r="I155" s="28" t="str">
        <f>IF(COUNTIFS(MOVIMIENTOS!$D$5:$D$53,#REF!,MOVIMIENTOS!$C$5:$C$53,"DEVOLUCION")=0,"",MAXIFS(MOVIMIENTOS!$B$5:$B$53,MOVIMIENTOS!$D$5:$D$53,#REF!,MOVIMIENTOS!$C$5:$C$53,"DEVOLUCION"))</f>
        <v/>
      </c>
      <c r="J155" s="27">
        <f>COUNTIFS(MOVIMIENTOS!$D$5:$D$53,#REF!,MOVIMIENTOS!$C$5:$C$53,"PERDIDA")</f>
        <v>0</v>
      </c>
      <c r="K155" s="27" t="str">
        <f t="shared" si="1"/>
        <v/>
      </c>
      <c r="L155" s="26" t="s">
        <v>339</v>
      </c>
    </row>
    <row r="156" ht="15.75" customHeight="1">
      <c r="A156" s="26" t="s">
        <v>363</v>
      </c>
      <c r="B156" s="26" t="s">
        <v>257</v>
      </c>
      <c r="C156" s="27" t="s">
        <v>104</v>
      </c>
      <c r="D156" s="26" t="s">
        <v>244</v>
      </c>
      <c r="E156" s="27" t="str">
        <f t="array" ref="E156">IFERROR(XLOOKUP(#REF!,PERSONAL!$B$5:$B$135,PERSONAL!$A$5:$A$135),"POR REGISTRAR")</f>
        <v>POR REGISTRAR</v>
      </c>
      <c r="F156" s="26" t="s">
        <v>96</v>
      </c>
      <c r="G156" s="26" t="s">
        <v>198</v>
      </c>
      <c r="H156" s="28" t="str">
        <f>IF(COUNTIFS(MOVIMIENTOS!$D$5:$D$53,#REF!)=0,"",MAXIFS(MOVIMIENTOS!$B$5:$B$53,MOVIMIENTOS!$D$5:$D$53,#REF!,MOVIMIENTOS!$C$5:$C$53,"&lt;&gt;DEVOLUCION"))</f>
        <v/>
      </c>
      <c r="I156" s="28" t="str">
        <f>IF(COUNTIFS(MOVIMIENTOS!$D$5:$D$53,#REF!,MOVIMIENTOS!$C$5:$C$53,"DEVOLUCION")=0,"",MAXIFS(MOVIMIENTOS!$B$5:$B$53,MOVIMIENTOS!$D$5:$D$53,#REF!,MOVIMIENTOS!$C$5:$C$53,"DEVOLUCION"))</f>
        <v/>
      </c>
      <c r="J156" s="27">
        <f>COUNTIFS(MOVIMIENTOS!$D$5:$D$53,#REF!,MOVIMIENTOS!$C$5:$C$53,"PERDIDA")</f>
        <v>0</v>
      </c>
      <c r="K156" s="27" t="str">
        <f t="shared" si="1"/>
        <v/>
      </c>
      <c r="L156" s="26" t="s">
        <v>339</v>
      </c>
    </row>
    <row r="157" ht="15.75" customHeight="1">
      <c r="A157" s="26" t="s">
        <v>364</v>
      </c>
      <c r="B157" s="26" t="s">
        <v>257</v>
      </c>
      <c r="C157" s="27" t="s">
        <v>104</v>
      </c>
      <c r="D157" s="26" t="s">
        <v>244</v>
      </c>
      <c r="E157" s="27" t="str">
        <f t="array" ref="E157">IFERROR(XLOOKUP(#REF!,PERSONAL!$B$5:$B$135,PERSONAL!$A$5:$A$135),"POR REGISTRAR")</f>
        <v>POR REGISTRAR</v>
      </c>
      <c r="F157" s="26" t="s">
        <v>96</v>
      </c>
      <c r="G157" s="26" t="s">
        <v>198</v>
      </c>
      <c r="H157" s="28" t="str">
        <f>IF(COUNTIFS(MOVIMIENTOS!$D$5:$D$53,#REF!)=0,"",MAXIFS(MOVIMIENTOS!$B$5:$B$53,MOVIMIENTOS!$D$5:$D$53,#REF!,MOVIMIENTOS!$C$5:$C$53,"&lt;&gt;DEVOLUCION"))</f>
        <v/>
      </c>
      <c r="I157" s="28" t="str">
        <f>IF(COUNTIFS(MOVIMIENTOS!$D$5:$D$53,#REF!,MOVIMIENTOS!$C$5:$C$53,"DEVOLUCION")=0,"",MAXIFS(MOVIMIENTOS!$B$5:$B$53,MOVIMIENTOS!$D$5:$D$53,#REF!,MOVIMIENTOS!$C$5:$C$53,"DEVOLUCION"))</f>
        <v/>
      </c>
      <c r="J157" s="27">
        <f>COUNTIFS(MOVIMIENTOS!$D$5:$D$53,#REF!,MOVIMIENTOS!$C$5:$C$53,"PERDIDA")</f>
        <v>0</v>
      </c>
      <c r="K157" s="27" t="str">
        <f t="shared" si="1"/>
        <v/>
      </c>
      <c r="L157" s="26" t="s">
        <v>339</v>
      </c>
    </row>
    <row r="158" ht="15.75" customHeight="1">
      <c r="A158" s="26" t="s">
        <v>365</v>
      </c>
      <c r="B158" s="26" t="s">
        <v>257</v>
      </c>
      <c r="C158" s="27" t="s">
        <v>104</v>
      </c>
      <c r="D158" s="26" t="s">
        <v>244</v>
      </c>
      <c r="E158" s="27" t="str">
        <f t="array" ref="E158">IFERROR(XLOOKUP(#REF!,PERSONAL!$B$5:$B$135,PERSONAL!$A$5:$A$135),"POR REGISTRAR")</f>
        <v>POR REGISTRAR</v>
      </c>
      <c r="F158" s="26" t="s">
        <v>96</v>
      </c>
      <c r="G158" s="26" t="s">
        <v>198</v>
      </c>
      <c r="H158" s="28" t="str">
        <f>IF(COUNTIFS(MOVIMIENTOS!$D$5:$D$53,#REF!)=0,"",MAXIFS(MOVIMIENTOS!$B$5:$B$53,MOVIMIENTOS!$D$5:$D$53,#REF!,MOVIMIENTOS!$C$5:$C$53,"&lt;&gt;DEVOLUCION"))</f>
        <v/>
      </c>
      <c r="I158" s="28" t="str">
        <f>IF(COUNTIFS(MOVIMIENTOS!$D$5:$D$53,#REF!,MOVIMIENTOS!$C$5:$C$53,"DEVOLUCION")=0,"",MAXIFS(MOVIMIENTOS!$B$5:$B$53,MOVIMIENTOS!$D$5:$D$53,#REF!,MOVIMIENTOS!$C$5:$C$53,"DEVOLUCION"))</f>
        <v/>
      </c>
      <c r="J158" s="27">
        <f>COUNTIFS(MOVIMIENTOS!$D$5:$D$53,#REF!,MOVIMIENTOS!$C$5:$C$53,"PERDIDA")</f>
        <v>0</v>
      </c>
      <c r="K158" s="27" t="str">
        <f t="shared" si="1"/>
        <v/>
      </c>
      <c r="L158" s="26" t="s">
        <v>339</v>
      </c>
    </row>
    <row r="159" ht="15.75" customHeight="1">
      <c r="A159" s="26" t="s">
        <v>366</v>
      </c>
      <c r="B159" s="26" t="s">
        <v>257</v>
      </c>
      <c r="C159" s="27" t="s">
        <v>104</v>
      </c>
      <c r="D159" s="26" t="s">
        <v>244</v>
      </c>
      <c r="E159" s="27" t="str">
        <f t="array" ref="E159">IFERROR(XLOOKUP(#REF!,PERSONAL!$B$5:$B$135,PERSONAL!$A$5:$A$135),"POR REGISTRAR")</f>
        <v>POR REGISTRAR</v>
      </c>
      <c r="F159" s="26" t="s">
        <v>96</v>
      </c>
      <c r="G159" s="26" t="s">
        <v>198</v>
      </c>
      <c r="H159" s="28" t="str">
        <f>IF(COUNTIFS(MOVIMIENTOS!$D$5:$D$53,#REF!)=0,"",MAXIFS(MOVIMIENTOS!$B$5:$B$53,MOVIMIENTOS!$D$5:$D$53,#REF!,MOVIMIENTOS!$C$5:$C$53,"&lt;&gt;DEVOLUCION"))</f>
        <v/>
      </c>
      <c r="I159" s="28" t="str">
        <f>IF(COUNTIFS(MOVIMIENTOS!$D$5:$D$53,#REF!,MOVIMIENTOS!$C$5:$C$53,"DEVOLUCION")=0,"",MAXIFS(MOVIMIENTOS!$B$5:$B$53,MOVIMIENTOS!$D$5:$D$53,#REF!,MOVIMIENTOS!$C$5:$C$53,"DEVOLUCION"))</f>
        <v/>
      </c>
      <c r="J159" s="27">
        <f>COUNTIFS(MOVIMIENTOS!$D$5:$D$53,#REF!,MOVIMIENTOS!$C$5:$C$53,"PERDIDA")</f>
        <v>0</v>
      </c>
      <c r="K159" s="27" t="str">
        <f t="shared" si="1"/>
        <v/>
      </c>
      <c r="L159" s="26" t="s">
        <v>339</v>
      </c>
    </row>
    <row r="160" ht="15.75" customHeight="1">
      <c r="A160" s="26" t="s">
        <v>367</v>
      </c>
      <c r="B160" s="26" t="s">
        <v>257</v>
      </c>
      <c r="C160" s="27" t="s">
        <v>104</v>
      </c>
      <c r="D160" s="26" t="s">
        <v>244</v>
      </c>
      <c r="E160" s="27" t="str">
        <f t="array" ref="E160">IFERROR(XLOOKUP(#REF!,PERSONAL!$B$5:$B$135,PERSONAL!$A$5:$A$135),"POR REGISTRAR")</f>
        <v>POR REGISTRAR</v>
      </c>
      <c r="F160" s="26" t="s">
        <v>96</v>
      </c>
      <c r="G160" s="26" t="s">
        <v>198</v>
      </c>
      <c r="H160" s="28" t="str">
        <f>IF(COUNTIFS(MOVIMIENTOS!$D$5:$D$53,#REF!)=0,"",MAXIFS(MOVIMIENTOS!$B$5:$B$53,MOVIMIENTOS!$D$5:$D$53,#REF!,MOVIMIENTOS!$C$5:$C$53,"&lt;&gt;DEVOLUCION"))</f>
        <v/>
      </c>
      <c r="I160" s="28" t="str">
        <f>IF(COUNTIFS(MOVIMIENTOS!$D$5:$D$53,#REF!,MOVIMIENTOS!$C$5:$C$53,"DEVOLUCION")=0,"",MAXIFS(MOVIMIENTOS!$B$5:$B$53,MOVIMIENTOS!$D$5:$D$53,#REF!,MOVIMIENTOS!$C$5:$C$53,"DEVOLUCION"))</f>
        <v/>
      </c>
      <c r="J160" s="27">
        <f>COUNTIFS(MOVIMIENTOS!$D$5:$D$53,#REF!,MOVIMIENTOS!$C$5:$C$53,"PERDIDA")</f>
        <v>0</v>
      </c>
      <c r="K160" s="27" t="str">
        <f t="shared" si="1"/>
        <v/>
      </c>
      <c r="L160" s="26" t="s">
        <v>339</v>
      </c>
    </row>
    <row r="161" ht="15.75" customHeight="1">
      <c r="A161" s="26" t="s">
        <v>368</v>
      </c>
      <c r="B161" s="26" t="s">
        <v>257</v>
      </c>
      <c r="C161" s="27" t="s">
        <v>104</v>
      </c>
      <c r="D161" s="26" t="s">
        <v>244</v>
      </c>
      <c r="E161" s="27" t="str">
        <f t="array" ref="E161">IFERROR(XLOOKUP(#REF!,PERSONAL!$B$5:$B$135,PERSONAL!$A$5:$A$135),"POR REGISTRAR")</f>
        <v>POR REGISTRAR</v>
      </c>
      <c r="F161" s="26" t="s">
        <v>96</v>
      </c>
      <c r="G161" s="26" t="s">
        <v>198</v>
      </c>
      <c r="H161" s="28" t="str">
        <f>IF(COUNTIFS(MOVIMIENTOS!$D$5:$D$53,#REF!)=0,"",MAXIFS(MOVIMIENTOS!$B$5:$B$53,MOVIMIENTOS!$D$5:$D$53,#REF!,MOVIMIENTOS!$C$5:$C$53,"&lt;&gt;DEVOLUCION"))</f>
        <v/>
      </c>
      <c r="I161" s="28" t="str">
        <f>IF(COUNTIFS(MOVIMIENTOS!$D$5:$D$53,#REF!,MOVIMIENTOS!$C$5:$C$53,"DEVOLUCION")=0,"",MAXIFS(MOVIMIENTOS!$B$5:$B$53,MOVIMIENTOS!$D$5:$D$53,#REF!,MOVIMIENTOS!$C$5:$C$53,"DEVOLUCION"))</f>
        <v/>
      </c>
      <c r="J161" s="27">
        <f>COUNTIFS(MOVIMIENTOS!$D$5:$D$53,#REF!,MOVIMIENTOS!$C$5:$C$53,"PERDIDA")</f>
        <v>0</v>
      </c>
      <c r="K161" s="27" t="str">
        <f t="shared" si="1"/>
        <v/>
      </c>
      <c r="L161" s="26" t="s">
        <v>339</v>
      </c>
    </row>
    <row r="162" ht="15.75" customHeight="1">
      <c r="A162" s="26" t="s">
        <v>369</v>
      </c>
      <c r="B162" s="26" t="s">
        <v>257</v>
      </c>
      <c r="C162" s="27" t="s">
        <v>104</v>
      </c>
      <c r="D162" s="26" t="s">
        <v>244</v>
      </c>
      <c r="E162" s="27" t="str">
        <f t="array" ref="E162">IFERROR(XLOOKUP(#REF!,PERSONAL!$B$5:$B$135,PERSONAL!$A$5:$A$135),"POR REGISTRAR")</f>
        <v>POR REGISTRAR</v>
      </c>
      <c r="F162" s="26" t="s">
        <v>96</v>
      </c>
      <c r="G162" s="26" t="s">
        <v>198</v>
      </c>
      <c r="H162" s="28" t="str">
        <f>IF(COUNTIFS(MOVIMIENTOS!$D$5:$D$53,#REF!)=0,"",MAXIFS(MOVIMIENTOS!$B$5:$B$53,MOVIMIENTOS!$D$5:$D$53,#REF!,MOVIMIENTOS!$C$5:$C$53,"&lt;&gt;DEVOLUCION"))</f>
        <v/>
      </c>
      <c r="I162" s="28" t="str">
        <f>IF(COUNTIFS(MOVIMIENTOS!$D$5:$D$53,#REF!,MOVIMIENTOS!$C$5:$C$53,"DEVOLUCION")=0,"",MAXIFS(MOVIMIENTOS!$B$5:$B$53,MOVIMIENTOS!$D$5:$D$53,#REF!,MOVIMIENTOS!$C$5:$C$53,"DEVOLUCION"))</f>
        <v/>
      </c>
      <c r="J162" s="27">
        <f>COUNTIFS(MOVIMIENTOS!$D$5:$D$53,#REF!,MOVIMIENTOS!$C$5:$C$53,"PERDIDA")</f>
        <v>0</v>
      </c>
      <c r="K162" s="27" t="str">
        <f t="shared" si="1"/>
        <v/>
      </c>
      <c r="L162" s="26" t="s">
        <v>339</v>
      </c>
    </row>
    <row r="163" ht="15.75" customHeight="1">
      <c r="A163" s="26" t="s">
        <v>370</v>
      </c>
      <c r="B163" s="26" t="s">
        <v>257</v>
      </c>
      <c r="C163" s="27" t="s">
        <v>104</v>
      </c>
      <c r="D163" s="26" t="s">
        <v>244</v>
      </c>
      <c r="E163" s="27" t="str">
        <f t="array" ref="E163">IFERROR(XLOOKUP(#REF!,PERSONAL!$B$5:$B$135,PERSONAL!$A$5:$A$135),"POR REGISTRAR")</f>
        <v>POR REGISTRAR</v>
      </c>
      <c r="F163" s="26" t="s">
        <v>96</v>
      </c>
      <c r="G163" s="26" t="s">
        <v>198</v>
      </c>
      <c r="H163" s="28" t="str">
        <f>IF(COUNTIFS(MOVIMIENTOS!$D$5:$D$53,#REF!)=0,"",MAXIFS(MOVIMIENTOS!$B$5:$B$53,MOVIMIENTOS!$D$5:$D$53,#REF!,MOVIMIENTOS!$C$5:$C$53,"&lt;&gt;DEVOLUCION"))</f>
        <v/>
      </c>
      <c r="I163" s="28" t="str">
        <f>IF(COUNTIFS(MOVIMIENTOS!$D$5:$D$53,#REF!,MOVIMIENTOS!$C$5:$C$53,"DEVOLUCION")=0,"",MAXIFS(MOVIMIENTOS!$B$5:$B$53,MOVIMIENTOS!$D$5:$D$53,#REF!,MOVIMIENTOS!$C$5:$C$53,"DEVOLUCION"))</f>
        <v/>
      </c>
      <c r="J163" s="27">
        <f>COUNTIFS(MOVIMIENTOS!$D$5:$D$53,#REF!,MOVIMIENTOS!$C$5:$C$53,"PERDIDA")</f>
        <v>0</v>
      </c>
      <c r="K163" s="27" t="str">
        <f t="shared" si="1"/>
        <v/>
      </c>
      <c r="L163" s="26" t="s">
        <v>339</v>
      </c>
    </row>
    <row r="164" ht="15.75" customHeight="1">
      <c r="A164" s="26" t="s">
        <v>371</v>
      </c>
      <c r="B164" s="26" t="s">
        <v>257</v>
      </c>
      <c r="C164" s="27" t="s">
        <v>104</v>
      </c>
      <c r="D164" s="26" t="s">
        <v>244</v>
      </c>
      <c r="E164" s="27" t="str">
        <f t="array" ref="E164">IFERROR(XLOOKUP(#REF!,PERSONAL!$B$5:$B$135,PERSONAL!$A$5:$A$135),"POR REGISTRAR")</f>
        <v>POR REGISTRAR</v>
      </c>
      <c r="F164" s="26" t="s">
        <v>96</v>
      </c>
      <c r="G164" s="26" t="s">
        <v>198</v>
      </c>
      <c r="H164" s="28" t="str">
        <f>IF(COUNTIFS(MOVIMIENTOS!$D$5:$D$53,#REF!)=0,"",MAXIFS(MOVIMIENTOS!$B$5:$B$53,MOVIMIENTOS!$D$5:$D$53,#REF!,MOVIMIENTOS!$C$5:$C$53,"&lt;&gt;DEVOLUCION"))</f>
        <v/>
      </c>
      <c r="I164" s="28" t="str">
        <f>IF(COUNTIFS(MOVIMIENTOS!$D$5:$D$53,#REF!,MOVIMIENTOS!$C$5:$C$53,"DEVOLUCION")=0,"",MAXIFS(MOVIMIENTOS!$B$5:$B$53,MOVIMIENTOS!$D$5:$D$53,#REF!,MOVIMIENTOS!$C$5:$C$53,"DEVOLUCION"))</f>
        <v/>
      </c>
      <c r="J164" s="27">
        <f>COUNTIFS(MOVIMIENTOS!$D$5:$D$53,#REF!,MOVIMIENTOS!$C$5:$C$53,"PERDIDA")</f>
        <v>0</v>
      </c>
      <c r="K164" s="27" t="str">
        <f t="shared" si="1"/>
        <v/>
      </c>
      <c r="L164" s="26" t="s">
        <v>339</v>
      </c>
    </row>
    <row r="165" ht="15.75" customHeight="1">
      <c r="A165" s="26" t="s">
        <v>372</v>
      </c>
      <c r="B165" s="26" t="s">
        <v>257</v>
      </c>
      <c r="C165" s="27" t="s">
        <v>104</v>
      </c>
      <c r="D165" s="26" t="s">
        <v>244</v>
      </c>
      <c r="E165" s="27" t="str">
        <f t="array" ref="E165">IFERROR(XLOOKUP(#REF!,PERSONAL!$B$5:$B$135,PERSONAL!$A$5:$A$135),"POR REGISTRAR")</f>
        <v>POR REGISTRAR</v>
      </c>
      <c r="F165" s="26" t="s">
        <v>96</v>
      </c>
      <c r="G165" s="26" t="s">
        <v>198</v>
      </c>
      <c r="H165" s="28" t="str">
        <f>IF(COUNTIFS(MOVIMIENTOS!$D$5:$D$53,#REF!)=0,"",MAXIFS(MOVIMIENTOS!$B$5:$B$53,MOVIMIENTOS!$D$5:$D$53,#REF!,MOVIMIENTOS!$C$5:$C$53,"&lt;&gt;DEVOLUCION"))</f>
        <v/>
      </c>
      <c r="I165" s="28" t="str">
        <f>IF(COUNTIFS(MOVIMIENTOS!$D$5:$D$53,#REF!,MOVIMIENTOS!$C$5:$C$53,"DEVOLUCION")=0,"",MAXIFS(MOVIMIENTOS!$B$5:$B$53,MOVIMIENTOS!$D$5:$D$53,#REF!,MOVIMIENTOS!$C$5:$C$53,"DEVOLUCION"))</f>
        <v/>
      </c>
      <c r="J165" s="27">
        <f>COUNTIFS(MOVIMIENTOS!$D$5:$D$53,#REF!,MOVIMIENTOS!$C$5:$C$53,"PERDIDA")</f>
        <v>0</v>
      </c>
      <c r="K165" s="27" t="str">
        <f t="shared" si="1"/>
        <v/>
      </c>
      <c r="L165" s="26" t="s">
        <v>339</v>
      </c>
    </row>
    <row r="166" ht="15.75" customHeight="1">
      <c r="A166" s="26" t="s">
        <v>373</v>
      </c>
      <c r="B166" s="26" t="s">
        <v>257</v>
      </c>
      <c r="C166" s="27" t="s">
        <v>104</v>
      </c>
      <c r="D166" s="26" t="s">
        <v>244</v>
      </c>
      <c r="E166" s="27" t="str">
        <f t="array" ref="E166">IFERROR(XLOOKUP(#REF!,PERSONAL!$B$5:$B$135,PERSONAL!$A$5:$A$135),"POR REGISTRAR")</f>
        <v>POR REGISTRAR</v>
      </c>
      <c r="F166" s="26" t="s">
        <v>96</v>
      </c>
      <c r="G166" s="26" t="s">
        <v>198</v>
      </c>
      <c r="H166" s="28" t="str">
        <f>IF(COUNTIFS(MOVIMIENTOS!$D$5:$D$53,#REF!)=0,"",MAXIFS(MOVIMIENTOS!$B$5:$B$53,MOVIMIENTOS!$D$5:$D$53,#REF!,MOVIMIENTOS!$C$5:$C$53,"&lt;&gt;DEVOLUCION"))</f>
        <v/>
      </c>
      <c r="I166" s="28" t="str">
        <f>IF(COUNTIFS(MOVIMIENTOS!$D$5:$D$53,#REF!,MOVIMIENTOS!$C$5:$C$53,"DEVOLUCION")=0,"",MAXIFS(MOVIMIENTOS!$B$5:$B$53,MOVIMIENTOS!$D$5:$D$53,#REF!,MOVIMIENTOS!$C$5:$C$53,"DEVOLUCION"))</f>
        <v/>
      </c>
      <c r="J166" s="27">
        <f>COUNTIFS(MOVIMIENTOS!$D$5:$D$53,#REF!,MOVIMIENTOS!$C$5:$C$53,"PERDIDA")</f>
        <v>0</v>
      </c>
      <c r="K166" s="27" t="str">
        <f t="shared" si="1"/>
        <v/>
      </c>
      <c r="L166" s="26" t="s">
        <v>339</v>
      </c>
    </row>
    <row r="167" ht="15.75" customHeight="1">
      <c r="A167" s="26" t="s">
        <v>374</v>
      </c>
      <c r="B167" s="26" t="s">
        <v>257</v>
      </c>
      <c r="C167" s="27" t="s">
        <v>104</v>
      </c>
      <c r="D167" s="26" t="s">
        <v>244</v>
      </c>
      <c r="E167" s="27" t="str">
        <f t="array" ref="E167">IFERROR(XLOOKUP(#REF!,PERSONAL!$B$5:$B$135,PERSONAL!$A$5:$A$135),"POR REGISTRAR")</f>
        <v>POR REGISTRAR</v>
      </c>
      <c r="F167" s="26" t="s">
        <v>96</v>
      </c>
      <c r="G167" s="26" t="s">
        <v>198</v>
      </c>
      <c r="H167" s="28" t="str">
        <f>IF(COUNTIFS(MOVIMIENTOS!$D$5:$D$53,#REF!)=0,"",MAXIFS(MOVIMIENTOS!$B$5:$B$53,MOVIMIENTOS!$D$5:$D$53,#REF!,MOVIMIENTOS!$C$5:$C$53,"&lt;&gt;DEVOLUCION"))</f>
        <v/>
      </c>
      <c r="I167" s="28" t="str">
        <f>IF(COUNTIFS(MOVIMIENTOS!$D$5:$D$53,#REF!,MOVIMIENTOS!$C$5:$C$53,"DEVOLUCION")=0,"",MAXIFS(MOVIMIENTOS!$B$5:$B$53,MOVIMIENTOS!$D$5:$D$53,#REF!,MOVIMIENTOS!$C$5:$C$53,"DEVOLUCION"))</f>
        <v/>
      </c>
      <c r="J167" s="27">
        <f>COUNTIFS(MOVIMIENTOS!$D$5:$D$53,#REF!,MOVIMIENTOS!$C$5:$C$53,"PERDIDA")</f>
        <v>0</v>
      </c>
      <c r="K167" s="27" t="str">
        <f t="shared" si="1"/>
        <v/>
      </c>
      <c r="L167" s="26" t="s">
        <v>339</v>
      </c>
    </row>
    <row r="168" ht="15.75" customHeight="1">
      <c r="A168" s="26" t="s">
        <v>375</v>
      </c>
      <c r="B168" s="26" t="s">
        <v>257</v>
      </c>
      <c r="C168" s="27" t="s">
        <v>104</v>
      </c>
      <c r="D168" s="26" t="s">
        <v>244</v>
      </c>
      <c r="E168" s="27" t="str">
        <f t="array" ref="E168">IFERROR(XLOOKUP(#REF!,PERSONAL!$B$5:$B$135,PERSONAL!$A$5:$A$135),"POR REGISTRAR")</f>
        <v>POR REGISTRAR</v>
      </c>
      <c r="F168" s="26" t="s">
        <v>96</v>
      </c>
      <c r="G168" s="26" t="s">
        <v>198</v>
      </c>
      <c r="H168" s="28" t="str">
        <f>IF(COUNTIFS(MOVIMIENTOS!$D$5:$D$53,#REF!)=0,"",MAXIFS(MOVIMIENTOS!$B$5:$B$53,MOVIMIENTOS!$D$5:$D$53,#REF!,MOVIMIENTOS!$C$5:$C$53,"&lt;&gt;DEVOLUCION"))</f>
        <v/>
      </c>
      <c r="I168" s="28" t="str">
        <f>IF(COUNTIFS(MOVIMIENTOS!$D$5:$D$53,#REF!,MOVIMIENTOS!$C$5:$C$53,"DEVOLUCION")=0,"",MAXIFS(MOVIMIENTOS!$B$5:$B$53,MOVIMIENTOS!$D$5:$D$53,#REF!,MOVIMIENTOS!$C$5:$C$53,"DEVOLUCION"))</f>
        <v/>
      </c>
      <c r="J168" s="27">
        <f>COUNTIFS(MOVIMIENTOS!$D$5:$D$53,#REF!,MOVIMIENTOS!$C$5:$C$53,"PERDIDA")</f>
        <v>0</v>
      </c>
      <c r="K168" s="27" t="str">
        <f t="shared" si="1"/>
        <v/>
      </c>
      <c r="L168" s="26" t="s">
        <v>339</v>
      </c>
    </row>
    <row r="169" ht="15.75" customHeight="1">
      <c r="A169" s="26" t="s">
        <v>376</v>
      </c>
      <c r="B169" s="26" t="s">
        <v>257</v>
      </c>
      <c r="C169" s="27" t="s">
        <v>104</v>
      </c>
      <c r="D169" s="26" t="s">
        <v>244</v>
      </c>
      <c r="E169" s="27" t="str">
        <f t="array" ref="E169">IFERROR(XLOOKUP(#REF!,PERSONAL!$B$5:$B$135,PERSONAL!$A$5:$A$135),"POR REGISTRAR")</f>
        <v>POR REGISTRAR</v>
      </c>
      <c r="F169" s="26" t="s">
        <v>96</v>
      </c>
      <c r="G169" s="26" t="s">
        <v>198</v>
      </c>
      <c r="H169" s="28" t="str">
        <f>IF(COUNTIFS(MOVIMIENTOS!$D$5:$D$53,#REF!)=0,"",MAXIFS(MOVIMIENTOS!$B$5:$B$53,MOVIMIENTOS!$D$5:$D$53,#REF!,MOVIMIENTOS!$C$5:$C$53,"&lt;&gt;DEVOLUCION"))</f>
        <v/>
      </c>
      <c r="I169" s="28" t="str">
        <f>IF(COUNTIFS(MOVIMIENTOS!$D$5:$D$53,#REF!,MOVIMIENTOS!$C$5:$C$53,"DEVOLUCION")=0,"",MAXIFS(MOVIMIENTOS!$B$5:$B$53,MOVIMIENTOS!$D$5:$D$53,#REF!,MOVIMIENTOS!$C$5:$C$53,"DEVOLUCION"))</f>
        <v/>
      </c>
      <c r="J169" s="27">
        <f>COUNTIFS(MOVIMIENTOS!$D$5:$D$53,#REF!,MOVIMIENTOS!$C$5:$C$53,"PERDIDA")</f>
        <v>0</v>
      </c>
      <c r="K169" s="27" t="str">
        <f t="shared" si="1"/>
        <v/>
      </c>
      <c r="L169" s="26" t="s">
        <v>339</v>
      </c>
    </row>
    <row r="170" ht="15.75" customHeight="1">
      <c r="A170" s="26" t="s">
        <v>377</v>
      </c>
      <c r="B170" s="26" t="s">
        <v>257</v>
      </c>
      <c r="C170" s="27" t="s">
        <v>104</v>
      </c>
      <c r="D170" s="26" t="s">
        <v>244</v>
      </c>
      <c r="E170" s="27" t="str">
        <f t="array" ref="E170">IFERROR(XLOOKUP(#REF!,PERSONAL!$B$5:$B$135,PERSONAL!$A$5:$A$135),"POR REGISTRAR")</f>
        <v>POR REGISTRAR</v>
      </c>
      <c r="F170" s="26" t="s">
        <v>96</v>
      </c>
      <c r="G170" s="26" t="s">
        <v>198</v>
      </c>
      <c r="H170" s="28" t="str">
        <f>IF(COUNTIFS(MOVIMIENTOS!$D$5:$D$53,#REF!)=0,"",MAXIFS(MOVIMIENTOS!$B$5:$B$53,MOVIMIENTOS!$D$5:$D$53,#REF!,MOVIMIENTOS!$C$5:$C$53,"&lt;&gt;DEVOLUCION"))</f>
        <v/>
      </c>
      <c r="I170" s="28" t="str">
        <f>IF(COUNTIFS(MOVIMIENTOS!$D$5:$D$53,#REF!,MOVIMIENTOS!$C$5:$C$53,"DEVOLUCION")=0,"",MAXIFS(MOVIMIENTOS!$B$5:$B$53,MOVIMIENTOS!$D$5:$D$53,#REF!,MOVIMIENTOS!$C$5:$C$53,"DEVOLUCION"))</f>
        <v/>
      </c>
      <c r="J170" s="27">
        <f>COUNTIFS(MOVIMIENTOS!$D$5:$D$53,#REF!,MOVIMIENTOS!$C$5:$C$53,"PERDIDA")</f>
        <v>0</v>
      </c>
      <c r="K170" s="27" t="str">
        <f t="shared" si="1"/>
        <v/>
      </c>
      <c r="L170" s="26" t="s">
        <v>339</v>
      </c>
    </row>
    <row r="171" ht="15.75" customHeight="1">
      <c r="A171" s="26" t="s">
        <v>378</v>
      </c>
      <c r="B171" s="26" t="s">
        <v>257</v>
      </c>
      <c r="C171" s="27" t="s">
        <v>104</v>
      </c>
      <c r="D171" s="26" t="s">
        <v>244</v>
      </c>
      <c r="E171" s="27" t="str">
        <f t="array" ref="E171">IFERROR(XLOOKUP(#REF!,PERSONAL!$B$5:$B$135,PERSONAL!$A$5:$A$135),"POR REGISTRAR")</f>
        <v>POR REGISTRAR</v>
      </c>
      <c r="F171" s="26" t="s">
        <v>96</v>
      </c>
      <c r="G171" s="26" t="s">
        <v>198</v>
      </c>
      <c r="H171" s="28" t="str">
        <f>IF(COUNTIFS(MOVIMIENTOS!$D$5:$D$53,#REF!)=0,"",MAXIFS(MOVIMIENTOS!$B$5:$B$53,MOVIMIENTOS!$D$5:$D$53,#REF!,MOVIMIENTOS!$C$5:$C$53,"&lt;&gt;DEVOLUCION"))</f>
        <v/>
      </c>
      <c r="I171" s="28" t="str">
        <f>IF(COUNTIFS(MOVIMIENTOS!$D$5:$D$53,#REF!,MOVIMIENTOS!$C$5:$C$53,"DEVOLUCION")=0,"",MAXIFS(MOVIMIENTOS!$B$5:$B$53,MOVIMIENTOS!$D$5:$D$53,#REF!,MOVIMIENTOS!$C$5:$C$53,"DEVOLUCION"))</f>
        <v/>
      </c>
      <c r="J171" s="27">
        <f>COUNTIFS(MOVIMIENTOS!$D$5:$D$53,#REF!,MOVIMIENTOS!$C$5:$C$53,"PERDIDA")</f>
        <v>0</v>
      </c>
      <c r="K171" s="27" t="str">
        <f t="shared" si="1"/>
        <v/>
      </c>
      <c r="L171" s="26" t="s">
        <v>339</v>
      </c>
    </row>
    <row r="172" ht="15.75" customHeight="1">
      <c r="A172" s="26" t="s">
        <v>379</v>
      </c>
      <c r="B172" s="26" t="s">
        <v>257</v>
      </c>
      <c r="C172" s="27" t="s">
        <v>104</v>
      </c>
      <c r="D172" s="26" t="s">
        <v>244</v>
      </c>
      <c r="E172" s="27" t="str">
        <f t="array" ref="E172">IFERROR(XLOOKUP(#REF!,PERSONAL!$B$5:$B$135,PERSONAL!$A$5:$A$135),"POR REGISTRAR")</f>
        <v>POR REGISTRAR</v>
      </c>
      <c r="F172" s="26" t="s">
        <v>96</v>
      </c>
      <c r="G172" s="26" t="s">
        <v>198</v>
      </c>
      <c r="H172" s="28" t="str">
        <f>IF(COUNTIFS(MOVIMIENTOS!$D$5:$D$53,#REF!)=0,"",MAXIFS(MOVIMIENTOS!$B$5:$B$53,MOVIMIENTOS!$D$5:$D$53,#REF!,MOVIMIENTOS!$C$5:$C$53,"&lt;&gt;DEVOLUCION"))</f>
        <v/>
      </c>
      <c r="I172" s="28" t="str">
        <f>IF(COUNTIFS(MOVIMIENTOS!$D$5:$D$53,#REF!,MOVIMIENTOS!$C$5:$C$53,"DEVOLUCION")=0,"",MAXIFS(MOVIMIENTOS!$B$5:$B$53,MOVIMIENTOS!$D$5:$D$53,#REF!,MOVIMIENTOS!$C$5:$C$53,"DEVOLUCION"))</f>
        <v/>
      </c>
      <c r="J172" s="27">
        <f>COUNTIFS(MOVIMIENTOS!$D$5:$D$53,#REF!,MOVIMIENTOS!$C$5:$C$53,"PERDIDA")</f>
        <v>0</v>
      </c>
      <c r="K172" s="27" t="str">
        <f t="shared" si="1"/>
        <v/>
      </c>
      <c r="L172" s="26" t="s">
        <v>339</v>
      </c>
    </row>
    <row r="173" ht="15.75" customHeight="1">
      <c r="A173" s="26" t="s">
        <v>380</v>
      </c>
      <c r="B173" s="26" t="s">
        <v>257</v>
      </c>
      <c r="C173" s="27" t="s">
        <v>104</v>
      </c>
      <c r="D173" s="26" t="s">
        <v>244</v>
      </c>
      <c r="E173" s="27" t="str">
        <f t="array" ref="E173">IFERROR(XLOOKUP(#REF!,PERSONAL!$B$5:$B$135,PERSONAL!$A$5:$A$135),"POR REGISTRAR")</f>
        <v>POR REGISTRAR</v>
      </c>
      <c r="F173" s="26" t="s">
        <v>96</v>
      </c>
      <c r="G173" s="26" t="s">
        <v>198</v>
      </c>
      <c r="H173" s="28" t="str">
        <f>IF(COUNTIFS(MOVIMIENTOS!$D$5:$D$53,#REF!)=0,"",MAXIFS(MOVIMIENTOS!$B$5:$B$53,MOVIMIENTOS!$D$5:$D$53,#REF!,MOVIMIENTOS!$C$5:$C$53,"&lt;&gt;DEVOLUCION"))</f>
        <v/>
      </c>
      <c r="I173" s="28" t="str">
        <f>IF(COUNTIFS(MOVIMIENTOS!$D$5:$D$53,#REF!,MOVIMIENTOS!$C$5:$C$53,"DEVOLUCION")=0,"",MAXIFS(MOVIMIENTOS!$B$5:$B$53,MOVIMIENTOS!$D$5:$D$53,#REF!,MOVIMIENTOS!$C$5:$C$53,"DEVOLUCION"))</f>
        <v/>
      </c>
      <c r="J173" s="27">
        <f>COUNTIFS(MOVIMIENTOS!$D$5:$D$53,#REF!,MOVIMIENTOS!$C$5:$C$53,"PERDIDA")</f>
        <v>0</v>
      </c>
      <c r="K173" s="27" t="str">
        <f t="shared" si="1"/>
        <v/>
      </c>
      <c r="L173" s="26" t="s">
        <v>339</v>
      </c>
    </row>
    <row r="174" ht="15.75" customHeight="1">
      <c r="A174" s="26" t="s">
        <v>381</v>
      </c>
      <c r="B174" s="26" t="s">
        <v>257</v>
      </c>
      <c r="C174" s="27" t="s">
        <v>104</v>
      </c>
      <c r="D174" s="26" t="s">
        <v>244</v>
      </c>
      <c r="E174" s="27" t="str">
        <f t="array" ref="E174">IFERROR(XLOOKUP(#REF!,PERSONAL!$B$5:$B$135,PERSONAL!$A$5:$A$135),"POR REGISTRAR")</f>
        <v>POR REGISTRAR</v>
      </c>
      <c r="F174" s="26" t="s">
        <v>96</v>
      </c>
      <c r="G174" s="26" t="s">
        <v>198</v>
      </c>
      <c r="H174" s="28" t="str">
        <f>IF(COUNTIFS(MOVIMIENTOS!$D$5:$D$53,#REF!)=0,"",MAXIFS(MOVIMIENTOS!$B$5:$B$53,MOVIMIENTOS!$D$5:$D$53,#REF!,MOVIMIENTOS!$C$5:$C$53,"&lt;&gt;DEVOLUCION"))</f>
        <v/>
      </c>
      <c r="I174" s="28" t="str">
        <f>IF(COUNTIFS(MOVIMIENTOS!$D$5:$D$53,#REF!,MOVIMIENTOS!$C$5:$C$53,"DEVOLUCION")=0,"",MAXIFS(MOVIMIENTOS!$B$5:$B$53,MOVIMIENTOS!$D$5:$D$53,#REF!,MOVIMIENTOS!$C$5:$C$53,"DEVOLUCION"))</f>
        <v/>
      </c>
      <c r="J174" s="27">
        <f>COUNTIFS(MOVIMIENTOS!$D$5:$D$53,#REF!,MOVIMIENTOS!$C$5:$C$53,"PERDIDA")</f>
        <v>0</v>
      </c>
      <c r="K174" s="27" t="str">
        <f t="shared" si="1"/>
        <v/>
      </c>
      <c r="L174" s="26" t="s">
        <v>339</v>
      </c>
    </row>
    <row r="175" ht="15.75" customHeight="1">
      <c r="A175" s="26" t="s">
        <v>382</v>
      </c>
      <c r="B175" s="26" t="s">
        <v>257</v>
      </c>
      <c r="C175" s="27" t="s">
        <v>104</v>
      </c>
      <c r="D175" s="26" t="s">
        <v>244</v>
      </c>
      <c r="E175" s="27" t="str">
        <f t="array" ref="E175">IFERROR(XLOOKUP(#REF!,PERSONAL!$B$5:$B$135,PERSONAL!$A$5:$A$135),"POR REGISTRAR")</f>
        <v>POR REGISTRAR</v>
      </c>
      <c r="F175" s="26" t="s">
        <v>96</v>
      </c>
      <c r="G175" s="26" t="s">
        <v>198</v>
      </c>
      <c r="H175" s="28" t="str">
        <f>IF(COUNTIFS(MOVIMIENTOS!$D$5:$D$53,#REF!)=0,"",MAXIFS(MOVIMIENTOS!$B$5:$B$53,MOVIMIENTOS!$D$5:$D$53,#REF!,MOVIMIENTOS!$C$5:$C$53,"&lt;&gt;DEVOLUCION"))</f>
        <v/>
      </c>
      <c r="I175" s="28" t="str">
        <f>IF(COUNTIFS(MOVIMIENTOS!$D$5:$D$53,#REF!,MOVIMIENTOS!$C$5:$C$53,"DEVOLUCION")=0,"",MAXIFS(MOVIMIENTOS!$B$5:$B$53,MOVIMIENTOS!$D$5:$D$53,#REF!,MOVIMIENTOS!$C$5:$C$53,"DEVOLUCION"))</f>
        <v/>
      </c>
      <c r="J175" s="27">
        <f>COUNTIFS(MOVIMIENTOS!$D$5:$D$53,#REF!,MOVIMIENTOS!$C$5:$C$53,"PERDIDA")</f>
        <v>0</v>
      </c>
      <c r="K175" s="27" t="str">
        <f t="shared" si="1"/>
        <v/>
      </c>
      <c r="L175" s="26" t="s">
        <v>339</v>
      </c>
    </row>
    <row r="176" ht="15.75" customHeight="1">
      <c r="A176" s="26" t="s">
        <v>383</v>
      </c>
      <c r="B176" s="26" t="s">
        <v>257</v>
      </c>
      <c r="C176" s="27" t="s">
        <v>104</v>
      </c>
      <c r="D176" s="26" t="s">
        <v>244</v>
      </c>
      <c r="E176" s="27" t="str">
        <f t="array" ref="E176">IFERROR(XLOOKUP(#REF!,PERSONAL!$B$5:$B$135,PERSONAL!$A$5:$A$135),"POR REGISTRAR")</f>
        <v>POR REGISTRAR</v>
      </c>
      <c r="F176" s="26" t="s">
        <v>96</v>
      </c>
      <c r="G176" s="26" t="s">
        <v>198</v>
      </c>
      <c r="H176" s="28" t="str">
        <f>IF(COUNTIFS(MOVIMIENTOS!$D$5:$D$53,#REF!)=0,"",MAXIFS(MOVIMIENTOS!$B$5:$B$53,MOVIMIENTOS!$D$5:$D$53,#REF!,MOVIMIENTOS!$C$5:$C$53,"&lt;&gt;DEVOLUCION"))</f>
        <v/>
      </c>
      <c r="I176" s="28" t="str">
        <f>IF(COUNTIFS(MOVIMIENTOS!$D$5:$D$53,#REF!,MOVIMIENTOS!$C$5:$C$53,"DEVOLUCION")=0,"",MAXIFS(MOVIMIENTOS!$B$5:$B$53,MOVIMIENTOS!$D$5:$D$53,#REF!,MOVIMIENTOS!$C$5:$C$53,"DEVOLUCION"))</f>
        <v/>
      </c>
      <c r="J176" s="27">
        <f>COUNTIFS(MOVIMIENTOS!$D$5:$D$53,#REF!,MOVIMIENTOS!$C$5:$C$53,"PERDIDA")</f>
        <v>0</v>
      </c>
      <c r="K176" s="27" t="str">
        <f t="shared" si="1"/>
        <v/>
      </c>
      <c r="L176" s="26" t="s">
        <v>339</v>
      </c>
    </row>
    <row r="177" ht="15.75" customHeight="1">
      <c r="A177" s="26" t="s">
        <v>384</v>
      </c>
      <c r="B177" s="26" t="s">
        <v>257</v>
      </c>
      <c r="C177" s="27" t="s">
        <v>104</v>
      </c>
      <c r="D177" s="26" t="s">
        <v>244</v>
      </c>
      <c r="E177" s="27" t="str">
        <f t="array" ref="E177">IFERROR(XLOOKUP(#REF!,PERSONAL!$B$5:$B$135,PERSONAL!$A$5:$A$135),"POR REGISTRAR")</f>
        <v>POR REGISTRAR</v>
      </c>
      <c r="F177" s="26" t="s">
        <v>96</v>
      </c>
      <c r="G177" s="26" t="s">
        <v>198</v>
      </c>
      <c r="H177" s="28" t="str">
        <f>IF(COUNTIFS(MOVIMIENTOS!$D$5:$D$53,#REF!)=0,"",MAXIFS(MOVIMIENTOS!$B$5:$B$53,MOVIMIENTOS!$D$5:$D$53,#REF!,MOVIMIENTOS!$C$5:$C$53,"&lt;&gt;DEVOLUCION"))</f>
        <v/>
      </c>
      <c r="I177" s="28" t="str">
        <f>IF(COUNTIFS(MOVIMIENTOS!$D$5:$D$53,#REF!,MOVIMIENTOS!$C$5:$C$53,"DEVOLUCION")=0,"",MAXIFS(MOVIMIENTOS!$B$5:$B$53,MOVIMIENTOS!$D$5:$D$53,#REF!,MOVIMIENTOS!$C$5:$C$53,"DEVOLUCION"))</f>
        <v/>
      </c>
      <c r="J177" s="27">
        <f>COUNTIFS(MOVIMIENTOS!$D$5:$D$53,#REF!,MOVIMIENTOS!$C$5:$C$53,"PERDIDA")</f>
        <v>0</v>
      </c>
      <c r="K177" s="27" t="str">
        <f t="shared" si="1"/>
        <v/>
      </c>
      <c r="L177" s="26" t="s">
        <v>339</v>
      </c>
    </row>
    <row r="178" ht="15.75" customHeight="1">
      <c r="A178" s="26" t="s">
        <v>385</v>
      </c>
      <c r="B178" s="26" t="s">
        <v>257</v>
      </c>
      <c r="C178" s="27" t="s">
        <v>104</v>
      </c>
      <c r="D178" s="26" t="s">
        <v>244</v>
      </c>
      <c r="E178" s="27" t="str">
        <f t="array" ref="E178">IFERROR(XLOOKUP(#REF!,PERSONAL!$B$5:$B$135,PERSONAL!$A$5:$A$135),"POR REGISTRAR")</f>
        <v>POR REGISTRAR</v>
      </c>
      <c r="F178" s="26" t="s">
        <v>96</v>
      </c>
      <c r="G178" s="26" t="s">
        <v>198</v>
      </c>
      <c r="H178" s="28" t="str">
        <f>IF(COUNTIFS(MOVIMIENTOS!$D$5:$D$53,#REF!)=0,"",MAXIFS(MOVIMIENTOS!$B$5:$B$53,MOVIMIENTOS!$D$5:$D$53,#REF!,MOVIMIENTOS!$C$5:$C$53,"&lt;&gt;DEVOLUCION"))</f>
        <v/>
      </c>
      <c r="I178" s="28" t="str">
        <f>IF(COUNTIFS(MOVIMIENTOS!$D$5:$D$53,#REF!,MOVIMIENTOS!$C$5:$C$53,"DEVOLUCION")=0,"",MAXIFS(MOVIMIENTOS!$B$5:$B$53,MOVIMIENTOS!$D$5:$D$53,#REF!,MOVIMIENTOS!$C$5:$C$53,"DEVOLUCION"))</f>
        <v/>
      </c>
      <c r="J178" s="27">
        <f>COUNTIFS(MOVIMIENTOS!$D$5:$D$53,#REF!,MOVIMIENTOS!$C$5:$C$53,"PERDIDA")</f>
        <v>0</v>
      </c>
      <c r="K178" s="27" t="str">
        <f t="shared" si="1"/>
        <v/>
      </c>
      <c r="L178" s="26" t="s">
        <v>339</v>
      </c>
    </row>
    <row r="179" ht="15.75" customHeight="1">
      <c r="A179" s="26" t="s">
        <v>386</v>
      </c>
      <c r="B179" s="26" t="s">
        <v>257</v>
      </c>
      <c r="C179" s="27" t="s">
        <v>104</v>
      </c>
      <c r="D179" s="26" t="s">
        <v>244</v>
      </c>
      <c r="E179" s="27" t="str">
        <f t="array" ref="E179">IFERROR(XLOOKUP(#REF!,PERSONAL!$B$5:$B$135,PERSONAL!$A$5:$A$135),"POR REGISTRAR")</f>
        <v>POR REGISTRAR</v>
      </c>
      <c r="F179" s="26" t="s">
        <v>96</v>
      </c>
      <c r="G179" s="26" t="s">
        <v>198</v>
      </c>
      <c r="H179" s="28" t="str">
        <f>IF(COUNTIFS(MOVIMIENTOS!$D$5:$D$53,#REF!)=0,"",MAXIFS(MOVIMIENTOS!$B$5:$B$53,MOVIMIENTOS!$D$5:$D$53,#REF!,MOVIMIENTOS!$C$5:$C$53,"&lt;&gt;DEVOLUCION"))</f>
        <v/>
      </c>
      <c r="I179" s="28" t="str">
        <f>IF(COUNTIFS(MOVIMIENTOS!$D$5:$D$53,#REF!,MOVIMIENTOS!$C$5:$C$53,"DEVOLUCION")=0,"",MAXIFS(MOVIMIENTOS!$B$5:$B$53,MOVIMIENTOS!$D$5:$D$53,#REF!,MOVIMIENTOS!$C$5:$C$53,"DEVOLUCION"))</f>
        <v/>
      </c>
      <c r="J179" s="27">
        <f>COUNTIFS(MOVIMIENTOS!$D$5:$D$53,#REF!,MOVIMIENTOS!$C$5:$C$53,"PERDIDA")</f>
        <v>0</v>
      </c>
      <c r="K179" s="27" t="str">
        <f t="shared" si="1"/>
        <v/>
      </c>
      <c r="L179" s="26" t="s">
        <v>339</v>
      </c>
    </row>
    <row r="180" ht="15.75" customHeight="1">
      <c r="A180" s="26" t="s">
        <v>387</v>
      </c>
      <c r="B180" s="26" t="s">
        <v>257</v>
      </c>
      <c r="C180" s="27" t="s">
        <v>104</v>
      </c>
      <c r="D180" s="26" t="s">
        <v>244</v>
      </c>
      <c r="E180" s="27" t="str">
        <f t="array" ref="E180">IFERROR(XLOOKUP(#REF!,PERSONAL!$B$5:$B$135,PERSONAL!$A$5:$A$135),"POR REGISTRAR")</f>
        <v>POR REGISTRAR</v>
      </c>
      <c r="F180" s="26" t="s">
        <v>96</v>
      </c>
      <c r="G180" s="26" t="s">
        <v>198</v>
      </c>
      <c r="H180" s="28" t="str">
        <f>IF(COUNTIFS(MOVIMIENTOS!$D$5:$D$53,#REF!)=0,"",MAXIFS(MOVIMIENTOS!$B$5:$B$53,MOVIMIENTOS!$D$5:$D$53,#REF!,MOVIMIENTOS!$C$5:$C$53,"&lt;&gt;DEVOLUCION"))</f>
        <v/>
      </c>
      <c r="I180" s="28" t="str">
        <f>IF(COUNTIFS(MOVIMIENTOS!$D$5:$D$53,#REF!,MOVIMIENTOS!$C$5:$C$53,"DEVOLUCION")=0,"",MAXIFS(MOVIMIENTOS!$B$5:$B$53,MOVIMIENTOS!$D$5:$D$53,#REF!,MOVIMIENTOS!$C$5:$C$53,"DEVOLUCION"))</f>
        <v/>
      </c>
      <c r="J180" s="27">
        <f>COUNTIFS(MOVIMIENTOS!$D$5:$D$53,#REF!,MOVIMIENTOS!$C$5:$C$53,"PERDIDA")</f>
        <v>0</v>
      </c>
      <c r="K180" s="27" t="str">
        <f t="shared" si="1"/>
        <v/>
      </c>
      <c r="L180" s="26" t="s">
        <v>339</v>
      </c>
    </row>
    <row r="181" ht="15.75" customHeight="1">
      <c r="A181" s="26" t="s">
        <v>388</v>
      </c>
      <c r="B181" s="26" t="s">
        <v>257</v>
      </c>
      <c r="C181" s="30" t="s">
        <v>104</v>
      </c>
      <c r="D181" s="26" t="s">
        <v>244</v>
      </c>
      <c r="E181" s="27" t="str">
        <f t="array" ref="E181">IFERROR(XLOOKUP(#REF!,PERSONAL!$B$5:$B$135,PERSONAL!$A$5:$A$135),"POR REGISTRAR")</f>
        <v>POR REGISTRAR</v>
      </c>
      <c r="F181" s="26" t="s">
        <v>96</v>
      </c>
      <c r="G181" s="26" t="s">
        <v>198</v>
      </c>
      <c r="H181" s="28" t="str">
        <f>IF(COUNTIFS(MOVIMIENTOS!$D$5:$D$53,#REF!)=0,"",MAXIFS(MOVIMIENTOS!$B$5:$B$53,MOVIMIENTOS!$D$5:$D$53,#REF!,MOVIMIENTOS!$C$5:$C$53,"&lt;&gt;DEVOLUCION"))</f>
        <v/>
      </c>
      <c r="I181" s="28" t="str">
        <f>IF(COUNTIFS(MOVIMIENTOS!$D$5:$D$53,#REF!,MOVIMIENTOS!$C$5:$C$53,"DEVOLUCION")=0,"",MAXIFS(MOVIMIENTOS!$B$5:$B$53,MOVIMIENTOS!$D$5:$D$53,#REF!,MOVIMIENTOS!$C$5:$C$53,"DEVOLUCION"))</f>
        <v/>
      </c>
      <c r="J181" s="27">
        <f>COUNTIFS(MOVIMIENTOS!$D$5:$D$53,#REF!,MOVIMIENTOS!$C$5:$C$53,"PERDIDA")</f>
        <v>0</v>
      </c>
      <c r="K181" s="27" t="str">
        <f t="shared" si="1"/>
        <v/>
      </c>
      <c r="L181" s="26" t="s">
        <v>339</v>
      </c>
    </row>
    <row r="182" ht="15.75" customHeight="1">
      <c r="B182" s="32"/>
      <c r="C182" s="32"/>
      <c r="F182" s="32"/>
      <c r="G182" s="32"/>
    </row>
    <row r="183" ht="15.75" customHeight="1">
      <c r="B183" s="32"/>
      <c r="C183" s="32"/>
      <c r="F183" s="32"/>
      <c r="G183" s="32"/>
    </row>
    <row r="184" ht="15.75" customHeight="1">
      <c r="B184" s="32"/>
      <c r="C184" s="32"/>
      <c r="F184" s="32"/>
      <c r="G184" s="32"/>
    </row>
    <row r="185" ht="15.75" customHeight="1">
      <c r="B185" s="32"/>
      <c r="C185" s="32"/>
      <c r="F185" s="32"/>
      <c r="G185" s="32"/>
    </row>
    <row r="186" ht="15.75" customHeight="1">
      <c r="B186" s="32"/>
      <c r="C186" s="32"/>
      <c r="F186" s="32"/>
      <c r="G186" s="32"/>
    </row>
    <row r="187" ht="15.75" customHeight="1">
      <c r="B187" s="32"/>
      <c r="C187" s="32"/>
      <c r="F187" s="32"/>
      <c r="G187" s="32"/>
    </row>
    <row r="188" ht="15.75" customHeight="1">
      <c r="B188" s="32"/>
      <c r="C188" s="32"/>
      <c r="F188" s="32"/>
      <c r="G188" s="32"/>
    </row>
    <row r="189" ht="15.75" customHeight="1">
      <c r="B189" s="32"/>
      <c r="C189" s="32"/>
      <c r="F189" s="32"/>
      <c r="G189" s="32"/>
    </row>
    <row r="190" ht="15.75" customHeight="1">
      <c r="B190" s="32"/>
      <c r="C190" s="32"/>
      <c r="F190" s="32"/>
      <c r="G190" s="32"/>
    </row>
    <row r="191" ht="15.75" customHeight="1">
      <c r="B191" s="32"/>
      <c r="C191" s="32"/>
      <c r="F191" s="32"/>
      <c r="G191" s="32"/>
    </row>
    <row r="192" ht="15.75" customHeight="1">
      <c r="B192" s="32"/>
      <c r="C192" s="32"/>
      <c r="F192" s="32"/>
      <c r="G192" s="32"/>
    </row>
    <row r="193" ht="15.75" customHeight="1">
      <c r="B193" s="32"/>
      <c r="C193" s="32"/>
      <c r="F193" s="32"/>
      <c r="G193" s="32"/>
    </row>
    <row r="194" ht="15.75" customHeight="1">
      <c r="B194" s="32"/>
      <c r="C194" s="32"/>
      <c r="F194" s="32"/>
      <c r="G194" s="32"/>
    </row>
    <row r="195" ht="15.75" customHeight="1">
      <c r="B195" s="32"/>
      <c r="C195" s="32"/>
      <c r="F195" s="32"/>
      <c r="G195" s="32"/>
    </row>
    <row r="196" ht="15.75" customHeight="1">
      <c r="B196" s="32"/>
      <c r="C196" s="32"/>
      <c r="F196" s="32"/>
      <c r="G196" s="32"/>
    </row>
    <row r="197" ht="15.75" customHeight="1">
      <c r="B197" s="32"/>
      <c r="C197" s="32"/>
      <c r="F197" s="32"/>
      <c r="G197" s="32"/>
    </row>
    <row r="198" ht="15.75" customHeight="1">
      <c r="B198" s="32"/>
      <c r="C198" s="32"/>
      <c r="F198" s="32"/>
      <c r="G198" s="32"/>
    </row>
    <row r="199" ht="15.75" customHeight="1">
      <c r="B199" s="32"/>
      <c r="C199" s="32"/>
      <c r="F199" s="32"/>
      <c r="G199" s="32"/>
    </row>
    <row r="200" ht="15.75" customHeight="1">
      <c r="B200" s="32"/>
      <c r="C200" s="32"/>
      <c r="F200" s="32"/>
      <c r="G200" s="32"/>
    </row>
    <row r="201" ht="15.75" customHeight="1">
      <c r="B201" s="32"/>
      <c r="C201" s="32"/>
      <c r="F201" s="32"/>
      <c r="G201" s="32"/>
    </row>
    <row r="202" ht="15.75" customHeight="1">
      <c r="B202" s="32"/>
      <c r="C202" s="32"/>
      <c r="F202" s="32"/>
      <c r="G202" s="32"/>
    </row>
    <row r="203" ht="15.75" customHeight="1">
      <c r="B203" s="32"/>
      <c r="C203" s="32"/>
      <c r="F203" s="32"/>
      <c r="G203" s="32"/>
    </row>
    <row r="204" ht="15.75" customHeight="1">
      <c r="B204" s="32"/>
      <c r="C204" s="32"/>
      <c r="F204" s="32"/>
      <c r="G204" s="32"/>
    </row>
    <row r="205" ht="15.75" customHeight="1">
      <c r="B205" s="32"/>
      <c r="C205" s="32"/>
      <c r="F205" s="32"/>
      <c r="G205" s="32"/>
    </row>
    <row r="206" ht="15.75" customHeight="1">
      <c r="B206" s="32"/>
      <c r="C206" s="32"/>
      <c r="F206" s="32"/>
      <c r="G206" s="32"/>
    </row>
    <row r="207" ht="15.75" customHeight="1">
      <c r="B207" s="32"/>
      <c r="C207" s="32"/>
      <c r="F207" s="32"/>
      <c r="G207" s="32"/>
    </row>
    <row r="208" ht="15.75" customHeight="1">
      <c r="B208" s="32"/>
      <c r="C208" s="32"/>
      <c r="F208" s="32"/>
      <c r="G208" s="32"/>
    </row>
    <row r="209" ht="15.75" customHeight="1">
      <c r="B209" s="32"/>
      <c r="C209" s="32"/>
      <c r="F209" s="32"/>
      <c r="G209" s="32"/>
    </row>
    <row r="210" ht="15.75" customHeight="1">
      <c r="B210" s="32"/>
      <c r="C210" s="32"/>
      <c r="F210" s="32"/>
      <c r="G210" s="32"/>
    </row>
    <row r="211" ht="15.75" customHeight="1">
      <c r="B211" s="32"/>
      <c r="C211" s="32"/>
      <c r="F211" s="32"/>
      <c r="G211" s="32"/>
    </row>
    <row r="212" ht="15.75" customHeight="1">
      <c r="B212" s="32"/>
      <c r="C212" s="32"/>
      <c r="F212" s="32"/>
      <c r="G212" s="32"/>
    </row>
    <row r="213" ht="15.75" customHeight="1">
      <c r="B213" s="32"/>
      <c r="C213" s="32"/>
      <c r="F213" s="32"/>
      <c r="G213" s="32"/>
    </row>
    <row r="214" ht="15.75" customHeight="1">
      <c r="B214" s="32"/>
      <c r="C214" s="32"/>
      <c r="F214" s="32"/>
      <c r="G214" s="32"/>
    </row>
    <row r="215" ht="15.75" customHeight="1">
      <c r="B215" s="32"/>
      <c r="C215" s="32"/>
      <c r="F215" s="32"/>
      <c r="G215" s="32"/>
    </row>
    <row r="216" ht="15.75" customHeight="1">
      <c r="B216" s="32"/>
      <c r="C216" s="32"/>
      <c r="F216" s="32"/>
      <c r="G216" s="32"/>
    </row>
    <row r="217" ht="15.75" customHeight="1">
      <c r="B217" s="32"/>
      <c r="C217" s="32"/>
      <c r="F217" s="32"/>
      <c r="G217" s="32"/>
    </row>
    <row r="218" ht="15.75" customHeight="1">
      <c r="B218" s="32"/>
      <c r="C218" s="32"/>
      <c r="F218" s="32"/>
      <c r="G218" s="32"/>
    </row>
    <row r="219" ht="15.75" customHeight="1">
      <c r="B219" s="32"/>
      <c r="C219" s="32"/>
      <c r="F219" s="32"/>
      <c r="G219" s="32"/>
    </row>
    <row r="220" ht="15.75" customHeight="1">
      <c r="B220" s="32"/>
      <c r="C220" s="32"/>
      <c r="F220" s="32"/>
      <c r="G220" s="32"/>
    </row>
    <row r="221" ht="15.75" customHeight="1">
      <c r="B221" s="32"/>
      <c r="C221" s="32"/>
      <c r="F221" s="32"/>
      <c r="G221" s="32"/>
    </row>
    <row r="222" ht="15.75" customHeight="1">
      <c r="B222" s="32"/>
      <c r="C222" s="32"/>
      <c r="F222" s="32"/>
      <c r="G222" s="32"/>
    </row>
    <row r="223" ht="15.75" customHeight="1">
      <c r="B223" s="32"/>
      <c r="C223" s="32"/>
      <c r="F223" s="32"/>
      <c r="G223" s="32"/>
    </row>
    <row r="224" ht="15.75" customHeight="1">
      <c r="B224" s="32"/>
      <c r="C224" s="32"/>
      <c r="F224" s="32"/>
      <c r="G224" s="32"/>
    </row>
    <row r="225" ht="15.75" customHeight="1">
      <c r="B225" s="32"/>
      <c r="C225" s="32"/>
      <c r="F225" s="32"/>
      <c r="G225" s="32"/>
    </row>
    <row r="226" ht="15.75" customHeight="1">
      <c r="B226" s="32"/>
      <c r="C226" s="32"/>
      <c r="F226" s="32"/>
      <c r="G226" s="32"/>
    </row>
    <row r="227" ht="15.75" customHeight="1">
      <c r="B227" s="32"/>
      <c r="C227" s="32"/>
      <c r="F227" s="32"/>
      <c r="G227" s="32"/>
    </row>
    <row r="228" ht="15.75" customHeight="1">
      <c r="B228" s="32"/>
      <c r="C228" s="32"/>
      <c r="F228" s="32"/>
      <c r="G228" s="32"/>
    </row>
    <row r="229" ht="15.75" customHeight="1">
      <c r="B229" s="32"/>
      <c r="C229" s="32"/>
      <c r="F229" s="32"/>
      <c r="G229" s="32"/>
    </row>
    <row r="230" ht="15.75" customHeight="1">
      <c r="B230" s="32"/>
      <c r="C230" s="32"/>
      <c r="F230" s="32"/>
      <c r="G230" s="32"/>
    </row>
    <row r="231" ht="15.75" customHeight="1">
      <c r="B231" s="32"/>
      <c r="C231" s="32"/>
      <c r="F231" s="32"/>
      <c r="G231" s="32"/>
    </row>
    <row r="232" ht="15.75" customHeight="1">
      <c r="B232" s="32"/>
      <c r="C232" s="32"/>
      <c r="F232" s="32"/>
      <c r="G232" s="32"/>
    </row>
    <row r="233" ht="15.75" customHeight="1">
      <c r="B233" s="32"/>
      <c r="C233" s="32"/>
      <c r="F233" s="32"/>
      <c r="G233" s="32"/>
    </row>
    <row r="234" ht="15.75" customHeight="1">
      <c r="B234" s="32"/>
      <c r="C234" s="32"/>
      <c r="F234" s="32"/>
      <c r="G234" s="32"/>
    </row>
    <row r="235" ht="15.75" customHeight="1">
      <c r="B235" s="32"/>
      <c r="C235" s="32"/>
      <c r="F235" s="32"/>
      <c r="G235" s="32"/>
    </row>
    <row r="236" ht="15.75" customHeight="1">
      <c r="B236" s="32"/>
      <c r="C236" s="32"/>
      <c r="F236" s="32"/>
      <c r="G236" s="32"/>
    </row>
    <row r="237" ht="15.75" customHeight="1">
      <c r="B237" s="32"/>
      <c r="C237" s="32"/>
      <c r="F237" s="32"/>
      <c r="G237" s="32"/>
    </row>
    <row r="238" ht="15.75" customHeight="1">
      <c r="B238" s="32"/>
      <c r="C238" s="32"/>
      <c r="F238" s="32"/>
      <c r="G238" s="32"/>
    </row>
    <row r="239" ht="15.75" customHeight="1">
      <c r="B239" s="32"/>
      <c r="C239" s="32"/>
      <c r="F239" s="32"/>
      <c r="G239" s="32"/>
    </row>
    <row r="240" ht="15.75" customHeight="1">
      <c r="B240" s="32"/>
      <c r="C240" s="32"/>
      <c r="F240" s="32"/>
      <c r="G240" s="32"/>
    </row>
    <row r="241" ht="15.75" customHeight="1">
      <c r="B241" s="32"/>
      <c r="C241" s="32"/>
      <c r="F241" s="32"/>
      <c r="G241" s="32"/>
    </row>
    <row r="242" ht="15.75" customHeight="1">
      <c r="B242" s="32"/>
      <c r="C242" s="32"/>
      <c r="F242" s="32"/>
      <c r="G242" s="32"/>
    </row>
    <row r="243" ht="15.75" customHeight="1">
      <c r="B243" s="32"/>
      <c r="C243" s="32"/>
      <c r="F243" s="32"/>
      <c r="G243" s="32"/>
    </row>
    <row r="244" ht="15.75" customHeight="1">
      <c r="B244" s="32"/>
      <c r="C244" s="32"/>
      <c r="F244" s="32"/>
      <c r="G244" s="32"/>
    </row>
    <row r="245" ht="15.75" customHeight="1">
      <c r="B245" s="32"/>
      <c r="C245" s="32"/>
      <c r="F245" s="32"/>
      <c r="G245" s="32"/>
    </row>
    <row r="246" ht="15.75" customHeight="1">
      <c r="B246" s="32"/>
      <c r="C246" s="32"/>
      <c r="F246" s="32"/>
      <c r="G246" s="32"/>
    </row>
    <row r="247" ht="15.75" customHeight="1">
      <c r="B247" s="32"/>
      <c r="C247" s="32"/>
      <c r="F247" s="32"/>
      <c r="G247" s="32"/>
    </row>
    <row r="248" ht="15.75" customHeight="1">
      <c r="B248" s="32"/>
      <c r="C248" s="32"/>
      <c r="F248" s="32"/>
      <c r="G248" s="32"/>
    </row>
    <row r="249" ht="15.75" customHeight="1">
      <c r="B249" s="32"/>
      <c r="C249" s="32"/>
      <c r="F249" s="32"/>
      <c r="G249" s="32"/>
    </row>
    <row r="250" ht="15.75" customHeight="1">
      <c r="B250" s="32"/>
      <c r="C250" s="32"/>
      <c r="F250" s="32"/>
      <c r="G250" s="32"/>
    </row>
    <row r="251" ht="15.75" customHeight="1">
      <c r="B251" s="32"/>
      <c r="C251" s="32"/>
      <c r="F251" s="32"/>
      <c r="G251" s="32"/>
    </row>
    <row r="252" ht="15.75" customHeight="1">
      <c r="B252" s="32"/>
      <c r="C252" s="32"/>
      <c r="F252" s="32"/>
      <c r="G252" s="32"/>
    </row>
    <row r="253" ht="15.75" customHeight="1">
      <c r="B253" s="32"/>
      <c r="C253" s="32"/>
      <c r="F253" s="32"/>
      <c r="G253" s="32"/>
    </row>
    <row r="254" ht="15.75" customHeight="1">
      <c r="B254" s="32"/>
      <c r="C254" s="32"/>
      <c r="F254" s="32"/>
      <c r="G254" s="32"/>
    </row>
    <row r="255" ht="15.75" customHeight="1">
      <c r="B255" s="32"/>
      <c r="C255" s="32"/>
      <c r="F255" s="32"/>
      <c r="G255" s="32"/>
    </row>
    <row r="256" ht="15.75" customHeight="1">
      <c r="B256" s="32"/>
      <c r="C256" s="32"/>
      <c r="F256" s="32"/>
      <c r="G256" s="32"/>
    </row>
    <row r="257" ht="15.75" customHeight="1">
      <c r="B257" s="32"/>
      <c r="C257" s="32"/>
      <c r="F257" s="32"/>
      <c r="G257" s="32"/>
    </row>
    <row r="258" ht="15.75" customHeight="1">
      <c r="B258" s="32"/>
      <c r="C258" s="32"/>
      <c r="F258" s="32"/>
      <c r="G258" s="32"/>
    </row>
    <row r="259" ht="15.75" customHeight="1">
      <c r="B259" s="32"/>
      <c r="C259" s="32"/>
      <c r="F259" s="32"/>
      <c r="G259" s="32"/>
    </row>
    <row r="260" ht="15.75" customHeight="1">
      <c r="B260" s="32"/>
      <c r="C260" s="32"/>
      <c r="F260" s="32"/>
      <c r="G260" s="32"/>
    </row>
    <row r="261" ht="15.75" customHeight="1">
      <c r="B261" s="32"/>
      <c r="C261" s="32"/>
      <c r="F261" s="32"/>
      <c r="G261" s="32"/>
    </row>
    <row r="262" ht="15.75" customHeight="1">
      <c r="B262" s="32"/>
      <c r="C262" s="32"/>
      <c r="F262" s="32"/>
      <c r="G262" s="32"/>
    </row>
    <row r="263" ht="15.75" customHeight="1">
      <c r="B263" s="32"/>
      <c r="C263" s="32"/>
      <c r="F263" s="32"/>
      <c r="G263" s="32"/>
    </row>
    <row r="264" ht="15.75" customHeight="1">
      <c r="B264" s="32"/>
      <c r="C264" s="32"/>
      <c r="F264" s="32"/>
      <c r="G264" s="32"/>
    </row>
    <row r="265" ht="15.75" customHeight="1">
      <c r="B265" s="32"/>
      <c r="C265" s="32"/>
      <c r="F265" s="32"/>
      <c r="G265" s="32"/>
    </row>
    <row r="266" ht="15.75" customHeight="1">
      <c r="B266" s="32"/>
      <c r="C266" s="32"/>
      <c r="F266" s="32"/>
      <c r="G266" s="32"/>
    </row>
    <row r="267" ht="15.75" customHeight="1">
      <c r="B267" s="32"/>
      <c r="C267" s="32"/>
      <c r="F267" s="32"/>
      <c r="G267" s="32"/>
    </row>
    <row r="268" ht="15.75" customHeight="1">
      <c r="B268" s="32"/>
      <c r="C268" s="32"/>
      <c r="F268" s="32"/>
      <c r="G268" s="32"/>
    </row>
    <row r="269" ht="15.75" customHeight="1">
      <c r="B269" s="32"/>
      <c r="C269" s="32"/>
      <c r="F269" s="32"/>
      <c r="G269" s="32"/>
    </row>
    <row r="270" ht="15.75" customHeight="1">
      <c r="B270" s="32"/>
      <c r="C270" s="32"/>
      <c r="F270" s="32"/>
      <c r="G270" s="32"/>
    </row>
    <row r="271" ht="15.75" customHeight="1">
      <c r="B271" s="32"/>
      <c r="C271" s="32"/>
      <c r="F271" s="32"/>
      <c r="G271" s="32"/>
    </row>
    <row r="272" ht="15.75" customHeight="1">
      <c r="B272" s="32"/>
      <c r="C272" s="32"/>
      <c r="F272" s="32"/>
      <c r="G272" s="32"/>
    </row>
    <row r="273" ht="15.75" customHeight="1">
      <c r="B273" s="32"/>
      <c r="C273" s="32"/>
      <c r="F273" s="32"/>
      <c r="G273" s="32"/>
    </row>
    <row r="274" ht="15.75" customHeight="1">
      <c r="B274" s="32"/>
      <c r="C274" s="32"/>
      <c r="F274" s="32"/>
      <c r="G274" s="32"/>
    </row>
    <row r="275" ht="15.75" customHeight="1">
      <c r="B275" s="32"/>
      <c r="C275" s="32"/>
      <c r="F275" s="32"/>
      <c r="G275" s="32"/>
    </row>
    <row r="276" ht="15.75" customHeight="1">
      <c r="B276" s="32"/>
      <c r="C276" s="32"/>
      <c r="F276" s="32"/>
      <c r="G276" s="32"/>
    </row>
    <row r="277" ht="15.75" customHeight="1">
      <c r="B277" s="32"/>
      <c r="C277" s="32"/>
      <c r="F277" s="32"/>
      <c r="G277" s="32"/>
    </row>
    <row r="278" ht="15.75" customHeight="1">
      <c r="B278" s="32"/>
      <c r="C278" s="32"/>
      <c r="F278" s="32"/>
      <c r="G278" s="32"/>
    </row>
    <row r="279" ht="15.75" customHeight="1">
      <c r="B279" s="32"/>
      <c r="C279" s="32"/>
      <c r="F279" s="32"/>
      <c r="G279" s="32"/>
    </row>
    <row r="280" ht="15.75" customHeight="1">
      <c r="B280" s="32"/>
      <c r="C280" s="32"/>
      <c r="F280" s="32"/>
      <c r="G280" s="32"/>
    </row>
    <row r="281" ht="15.75" customHeight="1">
      <c r="B281" s="32"/>
      <c r="C281" s="32"/>
      <c r="F281" s="32"/>
      <c r="G281" s="32"/>
    </row>
    <row r="282" ht="15.75" customHeight="1">
      <c r="B282" s="32"/>
      <c r="C282" s="32"/>
      <c r="F282" s="32"/>
      <c r="G282" s="32"/>
    </row>
    <row r="283" ht="15.75" customHeight="1">
      <c r="B283" s="32"/>
      <c r="C283" s="32"/>
      <c r="F283" s="32"/>
      <c r="G283" s="32"/>
    </row>
    <row r="284" ht="15.75" customHeight="1">
      <c r="B284" s="32"/>
      <c r="C284" s="32"/>
      <c r="F284" s="32"/>
      <c r="G284" s="32"/>
    </row>
    <row r="285" ht="15.75" customHeight="1">
      <c r="B285" s="32"/>
      <c r="C285" s="32"/>
      <c r="F285" s="32"/>
      <c r="G285" s="32"/>
    </row>
    <row r="286" ht="15.75" customHeight="1">
      <c r="B286" s="32"/>
      <c r="C286" s="32"/>
      <c r="F286" s="32"/>
      <c r="G286" s="32"/>
    </row>
    <row r="287" ht="15.75" customHeight="1">
      <c r="B287" s="32"/>
      <c r="C287" s="32"/>
      <c r="F287" s="32"/>
      <c r="G287" s="32"/>
    </row>
    <row r="288" ht="15.75" customHeight="1">
      <c r="B288" s="32"/>
      <c r="C288" s="32"/>
      <c r="F288" s="32"/>
      <c r="G288" s="32"/>
    </row>
    <row r="289" ht="15.75" customHeight="1">
      <c r="B289" s="32"/>
      <c r="C289" s="32"/>
      <c r="F289" s="32"/>
      <c r="G289" s="32"/>
    </row>
    <row r="290" ht="15.75" customHeight="1">
      <c r="B290" s="32"/>
      <c r="C290" s="32"/>
      <c r="F290" s="32"/>
      <c r="G290" s="32"/>
    </row>
    <row r="291" ht="15.75" customHeight="1">
      <c r="B291" s="32"/>
      <c r="C291" s="32"/>
      <c r="F291" s="32"/>
      <c r="G291" s="32"/>
    </row>
    <row r="292" ht="15.75" customHeight="1">
      <c r="B292" s="32"/>
      <c r="C292" s="32"/>
      <c r="F292" s="32"/>
      <c r="G292" s="32"/>
    </row>
    <row r="293" ht="15.75" customHeight="1">
      <c r="B293" s="32"/>
      <c r="C293" s="32"/>
      <c r="F293" s="32"/>
      <c r="G293" s="32"/>
    </row>
    <row r="294" ht="15.75" customHeight="1">
      <c r="B294" s="32"/>
      <c r="C294" s="32"/>
      <c r="F294" s="32"/>
      <c r="G294" s="32"/>
    </row>
    <row r="295" ht="15.75" customHeight="1">
      <c r="B295" s="32"/>
      <c r="C295" s="32"/>
      <c r="F295" s="32"/>
      <c r="G295" s="32"/>
    </row>
    <row r="296" ht="15.75" customHeight="1">
      <c r="B296" s="32"/>
      <c r="C296" s="32"/>
      <c r="F296" s="32"/>
      <c r="G296" s="32"/>
    </row>
    <row r="297" ht="15.75" customHeight="1">
      <c r="B297" s="32"/>
      <c r="C297" s="32"/>
      <c r="F297" s="32"/>
      <c r="G297" s="32"/>
    </row>
    <row r="298" ht="15.75" customHeight="1">
      <c r="B298" s="32"/>
      <c r="C298" s="32"/>
      <c r="F298" s="32"/>
      <c r="G298" s="32"/>
    </row>
    <row r="299" ht="15.75" customHeight="1">
      <c r="B299" s="32"/>
      <c r="C299" s="32"/>
      <c r="F299" s="32"/>
      <c r="G299" s="32"/>
    </row>
    <row r="300" ht="15.75" customHeight="1">
      <c r="B300" s="32"/>
      <c r="C300" s="32"/>
      <c r="F300" s="32"/>
      <c r="G300" s="32"/>
    </row>
    <row r="301" ht="15.75" customHeight="1">
      <c r="B301" s="32"/>
      <c r="C301" s="32"/>
      <c r="F301" s="32"/>
      <c r="G301" s="32"/>
    </row>
    <row r="302" ht="15.75" customHeight="1">
      <c r="B302" s="32"/>
      <c r="C302" s="32"/>
      <c r="F302" s="32"/>
      <c r="G302" s="32"/>
    </row>
    <row r="303" ht="15.75" customHeight="1">
      <c r="B303" s="32"/>
      <c r="C303" s="32"/>
      <c r="F303" s="32"/>
      <c r="G303" s="32"/>
    </row>
    <row r="304" ht="15.75" customHeight="1">
      <c r="B304" s="32"/>
      <c r="C304" s="32"/>
      <c r="F304" s="32"/>
      <c r="G304" s="32"/>
    </row>
    <row r="305" ht="15.75" customHeight="1">
      <c r="B305" s="32"/>
      <c r="C305" s="32"/>
      <c r="F305" s="32"/>
      <c r="G305" s="32"/>
    </row>
    <row r="306" ht="15.75" customHeight="1">
      <c r="B306" s="32"/>
      <c r="C306" s="32"/>
      <c r="F306" s="32"/>
      <c r="G306" s="32"/>
    </row>
    <row r="307" ht="15.75" customHeight="1">
      <c r="B307" s="32"/>
      <c r="C307" s="32"/>
      <c r="F307" s="32"/>
      <c r="G307" s="32"/>
    </row>
    <row r="308" ht="15.75" customHeight="1">
      <c r="B308" s="32"/>
      <c r="C308" s="32"/>
      <c r="F308" s="32"/>
      <c r="G308" s="32"/>
    </row>
    <row r="309" ht="15.75" customHeight="1">
      <c r="B309" s="32"/>
      <c r="C309" s="32"/>
      <c r="F309" s="32"/>
      <c r="G309" s="32"/>
    </row>
    <row r="310" ht="15.75" customHeight="1">
      <c r="B310" s="32"/>
      <c r="C310" s="32"/>
      <c r="F310" s="32"/>
      <c r="G310" s="32"/>
    </row>
    <row r="311" ht="15.75" customHeight="1">
      <c r="B311" s="32"/>
      <c r="C311" s="32"/>
      <c r="F311" s="32"/>
      <c r="G311" s="32"/>
    </row>
    <row r="312" ht="15.75" customHeight="1">
      <c r="B312" s="32"/>
      <c r="C312" s="32"/>
      <c r="F312" s="32"/>
      <c r="G312" s="32"/>
    </row>
    <row r="313" ht="15.75" customHeight="1">
      <c r="B313" s="32"/>
      <c r="C313" s="32"/>
      <c r="F313" s="32"/>
      <c r="G313" s="32"/>
    </row>
    <row r="314" ht="15.75" customHeight="1">
      <c r="B314" s="32"/>
      <c r="C314" s="32"/>
      <c r="F314" s="32"/>
      <c r="G314" s="32"/>
    </row>
    <row r="315" ht="15.75" customHeight="1">
      <c r="B315" s="32"/>
      <c r="C315" s="32"/>
      <c r="F315" s="32"/>
      <c r="G315" s="32"/>
    </row>
    <row r="316" ht="15.75" customHeight="1">
      <c r="B316" s="32"/>
      <c r="C316" s="32"/>
      <c r="F316" s="32"/>
      <c r="G316" s="32"/>
    </row>
    <row r="317" ht="15.75" customHeight="1">
      <c r="B317" s="32"/>
      <c r="C317" s="32"/>
      <c r="F317" s="32"/>
      <c r="G317" s="32"/>
    </row>
    <row r="318" ht="15.75" customHeight="1">
      <c r="B318" s="32"/>
      <c r="C318" s="32"/>
      <c r="F318" s="32"/>
      <c r="G318" s="32"/>
    </row>
    <row r="319" ht="15.75" customHeight="1">
      <c r="B319" s="32"/>
      <c r="C319" s="32"/>
      <c r="F319" s="32"/>
      <c r="G319" s="32"/>
    </row>
    <row r="320" ht="15.75" customHeight="1">
      <c r="B320" s="32"/>
      <c r="C320" s="32"/>
      <c r="F320" s="32"/>
      <c r="G320" s="32"/>
    </row>
    <row r="321" ht="15.75" customHeight="1">
      <c r="B321" s="32"/>
      <c r="C321" s="32"/>
      <c r="F321" s="32"/>
      <c r="G321" s="32"/>
    </row>
    <row r="322" ht="15.75" customHeight="1">
      <c r="B322" s="32"/>
      <c r="C322" s="32"/>
      <c r="F322" s="32"/>
      <c r="G322" s="32"/>
    </row>
    <row r="323" ht="15.75" customHeight="1">
      <c r="B323" s="32"/>
      <c r="C323" s="32"/>
      <c r="F323" s="32"/>
      <c r="G323" s="32"/>
    </row>
    <row r="324" ht="15.75" customHeight="1">
      <c r="B324" s="32"/>
      <c r="C324" s="32"/>
      <c r="F324" s="32"/>
      <c r="G324" s="32"/>
    </row>
    <row r="325" ht="15.75" customHeight="1">
      <c r="B325" s="32"/>
      <c r="C325" s="32"/>
      <c r="F325" s="32"/>
      <c r="G325" s="32"/>
    </row>
    <row r="326" ht="15.75" customHeight="1">
      <c r="B326" s="32"/>
      <c r="C326" s="32"/>
      <c r="F326" s="32"/>
      <c r="G326" s="32"/>
    </row>
    <row r="327" ht="15.75" customHeight="1">
      <c r="B327" s="32"/>
      <c r="C327" s="32"/>
      <c r="F327" s="32"/>
      <c r="G327" s="32"/>
    </row>
    <row r="328" ht="15.75" customHeight="1">
      <c r="B328" s="32"/>
      <c r="C328" s="32"/>
      <c r="F328" s="32"/>
      <c r="G328" s="32"/>
    </row>
    <row r="329" ht="15.75" customHeight="1">
      <c r="B329" s="32"/>
      <c r="C329" s="32"/>
      <c r="F329" s="32"/>
      <c r="G329" s="32"/>
    </row>
    <row r="330" ht="15.75" customHeight="1">
      <c r="B330" s="32"/>
      <c r="C330" s="32"/>
      <c r="F330" s="32"/>
      <c r="G330" s="32"/>
    </row>
    <row r="331" ht="15.75" customHeight="1">
      <c r="B331" s="32"/>
      <c r="C331" s="32"/>
      <c r="F331" s="32"/>
      <c r="G331" s="32"/>
    </row>
    <row r="332" ht="15.75" customHeight="1">
      <c r="B332" s="32"/>
      <c r="C332" s="32"/>
      <c r="F332" s="32"/>
      <c r="G332" s="32"/>
    </row>
    <row r="333" ht="15.75" customHeight="1">
      <c r="B333" s="32"/>
      <c r="C333" s="32"/>
      <c r="F333" s="32"/>
      <c r="G333" s="32"/>
    </row>
    <row r="334" ht="15.75" customHeight="1">
      <c r="B334" s="32"/>
      <c r="C334" s="32"/>
      <c r="F334" s="32"/>
      <c r="G334" s="32"/>
    </row>
    <row r="335" ht="15.75" customHeight="1">
      <c r="B335" s="32"/>
      <c r="C335" s="32"/>
      <c r="F335" s="32"/>
      <c r="G335" s="32"/>
    </row>
    <row r="336" ht="15.75" customHeight="1">
      <c r="B336" s="32"/>
      <c r="C336" s="32"/>
      <c r="F336" s="32"/>
      <c r="G336" s="32"/>
    </row>
    <row r="337" ht="15.75" customHeight="1">
      <c r="B337" s="32"/>
      <c r="C337" s="32"/>
      <c r="F337" s="32"/>
      <c r="G337" s="32"/>
    </row>
    <row r="338" ht="15.75" customHeight="1">
      <c r="B338" s="32"/>
      <c r="C338" s="32"/>
      <c r="F338" s="32"/>
      <c r="G338" s="32"/>
    </row>
    <row r="339" ht="15.75" customHeight="1">
      <c r="B339" s="32"/>
      <c r="C339" s="32"/>
      <c r="F339" s="32"/>
      <c r="G339" s="32"/>
    </row>
    <row r="340" ht="15.75" customHeight="1">
      <c r="B340" s="32"/>
      <c r="C340" s="32"/>
      <c r="F340" s="32"/>
      <c r="G340" s="32"/>
    </row>
    <row r="341" ht="15.75" customHeight="1">
      <c r="B341" s="32"/>
      <c r="C341" s="32"/>
      <c r="F341" s="32"/>
      <c r="G341" s="32"/>
    </row>
    <row r="342" ht="15.75" customHeight="1">
      <c r="B342" s="32"/>
      <c r="C342" s="32"/>
      <c r="F342" s="32"/>
      <c r="G342" s="32"/>
    </row>
    <row r="343" ht="15.75" customHeight="1">
      <c r="B343" s="32"/>
      <c r="C343" s="32"/>
      <c r="F343" s="32"/>
      <c r="G343" s="32"/>
    </row>
    <row r="344" ht="15.75" customHeight="1">
      <c r="B344" s="32"/>
      <c r="C344" s="32"/>
      <c r="F344" s="32"/>
      <c r="G344" s="32"/>
    </row>
    <row r="345" ht="15.75" customHeight="1">
      <c r="B345" s="32"/>
      <c r="C345" s="32"/>
      <c r="F345" s="32"/>
      <c r="G345" s="32"/>
    </row>
    <row r="346" ht="15.75" customHeight="1">
      <c r="B346" s="32"/>
      <c r="C346" s="32"/>
      <c r="F346" s="32"/>
      <c r="G346" s="32"/>
    </row>
    <row r="347" ht="15.75" customHeight="1">
      <c r="B347" s="32"/>
      <c r="C347" s="32"/>
      <c r="F347" s="32"/>
      <c r="G347" s="32"/>
    </row>
    <row r="348" ht="15.75" customHeight="1">
      <c r="B348" s="32"/>
      <c r="C348" s="32"/>
      <c r="F348" s="32"/>
      <c r="G348" s="32"/>
    </row>
    <row r="349" ht="15.75" customHeight="1">
      <c r="B349" s="32"/>
      <c r="C349" s="32"/>
      <c r="F349" s="32"/>
      <c r="G349" s="32"/>
    </row>
    <row r="350" ht="15.75" customHeight="1">
      <c r="B350" s="32"/>
      <c r="C350" s="32"/>
      <c r="F350" s="32"/>
      <c r="G350" s="32"/>
    </row>
    <row r="351" ht="15.75" customHeight="1">
      <c r="B351" s="32"/>
      <c r="C351" s="32"/>
      <c r="F351" s="32"/>
      <c r="G351" s="32"/>
    </row>
    <row r="352" ht="15.75" customHeight="1">
      <c r="B352" s="32"/>
      <c r="C352" s="32"/>
      <c r="F352" s="32"/>
      <c r="G352" s="32"/>
    </row>
    <row r="353" ht="15.75" customHeight="1">
      <c r="B353" s="32"/>
      <c r="C353" s="32"/>
      <c r="F353" s="32"/>
      <c r="G353" s="32"/>
    </row>
    <row r="354" ht="15.75" customHeight="1">
      <c r="B354" s="32"/>
      <c r="C354" s="32"/>
      <c r="F354" s="32"/>
      <c r="G354" s="32"/>
    </row>
    <row r="355" ht="15.75" customHeight="1">
      <c r="B355" s="32"/>
      <c r="C355" s="32"/>
      <c r="F355" s="32"/>
      <c r="G355" s="32"/>
    </row>
    <row r="356" ht="15.75" customHeight="1">
      <c r="B356" s="32"/>
      <c r="C356" s="32"/>
      <c r="F356" s="32"/>
      <c r="G356" s="32"/>
    </row>
    <row r="357" ht="15.75" customHeight="1">
      <c r="B357" s="32"/>
      <c r="C357" s="32"/>
      <c r="F357" s="32"/>
      <c r="G357" s="32"/>
    </row>
    <row r="358" ht="15.75" customHeight="1">
      <c r="B358" s="32"/>
      <c r="C358" s="32"/>
      <c r="F358" s="32"/>
      <c r="G358" s="32"/>
    </row>
    <row r="359" ht="15.75" customHeight="1">
      <c r="B359" s="32"/>
      <c r="C359" s="32"/>
      <c r="F359" s="32"/>
      <c r="G359" s="32"/>
    </row>
    <row r="360" ht="15.75" customHeight="1">
      <c r="B360" s="32"/>
      <c r="C360" s="32"/>
      <c r="F360" s="32"/>
      <c r="G360" s="32"/>
    </row>
    <row r="361" ht="15.75" customHeight="1">
      <c r="B361" s="32"/>
      <c r="C361" s="32"/>
      <c r="F361" s="32"/>
      <c r="G361" s="32"/>
    </row>
    <row r="362" ht="15.75" customHeight="1">
      <c r="B362" s="32"/>
      <c r="C362" s="32"/>
      <c r="F362" s="32"/>
      <c r="G362" s="32"/>
    </row>
    <row r="363" ht="15.75" customHeight="1">
      <c r="B363" s="32"/>
      <c r="C363" s="32"/>
      <c r="F363" s="32"/>
      <c r="G363" s="32"/>
    </row>
    <row r="364" ht="15.75" customHeight="1">
      <c r="B364" s="32"/>
      <c r="C364" s="32"/>
      <c r="F364" s="32"/>
      <c r="G364" s="32"/>
    </row>
    <row r="365" ht="15.75" customHeight="1">
      <c r="B365" s="32"/>
      <c r="C365" s="32"/>
      <c r="F365" s="32"/>
      <c r="G365" s="32"/>
    </row>
    <row r="366" ht="15.75" customHeight="1">
      <c r="B366" s="32"/>
      <c r="C366" s="32"/>
      <c r="F366" s="32"/>
      <c r="G366" s="32"/>
    </row>
    <row r="367" ht="15.75" customHeight="1">
      <c r="B367" s="32"/>
      <c r="C367" s="32"/>
      <c r="F367" s="32"/>
      <c r="G367" s="32"/>
    </row>
    <row r="368" ht="15.75" customHeight="1">
      <c r="B368" s="32"/>
      <c r="C368" s="32"/>
      <c r="F368" s="32"/>
      <c r="G368" s="32"/>
    </row>
    <row r="369" ht="15.75" customHeight="1">
      <c r="B369" s="32"/>
      <c r="C369" s="32"/>
      <c r="F369" s="32"/>
      <c r="G369" s="32"/>
    </row>
    <row r="370" ht="15.75" customHeight="1">
      <c r="B370" s="32"/>
      <c r="C370" s="32"/>
      <c r="F370" s="32"/>
      <c r="G370" s="32"/>
    </row>
    <row r="371" ht="15.75" customHeight="1">
      <c r="B371" s="32"/>
      <c r="C371" s="32"/>
      <c r="F371" s="32"/>
      <c r="G371" s="32"/>
    </row>
    <row r="372" ht="15.75" customHeight="1">
      <c r="B372" s="32"/>
      <c r="C372" s="32"/>
      <c r="F372" s="32"/>
      <c r="G372" s="32"/>
    </row>
    <row r="373" ht="15.75" customHeight="1">
      <c r="B373" s="32"/>
      <c r="C373" s="32"/>
      <c r="F373" s="32"/>
      <c r="G373" s="32"/>
    </row>
    <row r="374" ht="15.75" customHeight="1">
      <c r="B374" s="32"/>
      <c r="C374" s="32"/>
      <c r="F374" s="32"/>
      <c r="G374" s="32"/>
    </row>
    <row r="375" ht="15.75" customHeight="1">
      <c r="B375" s="32"/>
      <c r="C375" s="32"/>
      <c r="F375" s="32"/>
      <c r="G375" s="32"/>
    </row>
    <row r="376" ht="15.75" customHeight="1">
      <c r="B376" s="32"/>
      <c r="C376" s="32"/>
      <c r="F376" s="32"/>
      <c r="G376" s="32"/>
    </row>
    <row r="377" ht="15.75" customHeight="1">
      <c r="B377" s="32"/>
      <c r="C377" s="32"/>
      <c r="F377" s="32"/>
      <c r="G377" s="32"/>
    </row>
    <row r="378" ht="15.75" customHeight="1">
      <c r="B378" s="32"/>
      <c r="C378" s="32"/>
      <c r="F378" s="32"/>
      <c r="G378" s="32"/>
    </row>
    <row r="379" ht="15.75" customHeight="1">
      <c r="B379" s="32"/>
      <c r="C379" s="32"/>
      <c r="F379" s="32"/>
      <c r="G379" s="32"/>
    </row>
    <row r="380" ht="15.75" customHeight="1">
      <c r="B380" s="32"/>
      <c r="C380" s="32"/>
      <c r="F380" s="32"/>
      <c r="G380" s="32"/>
    </row>
    <row r="381" ht="15.75" customHeight="1">
      <c r="B381" s="32"/>
      <c r="C381" s="32"/>
      <c r="F381" s="32"/>
      <c r="G381" s="32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3:L3"/>
  </mergeCells>
  <conditionalFormatting sqref="C5:C181">
    <cfRule type="cellIs" dxfId="4" priority="1" operator="equal">
      <formula>"ASIGNADO"</formula>
    </cfRule>
  </conditionalFormatting>
  <conditionalFormatting sqref="C5:C181">
    <cfRule type="cellIs" dxfId="5" priority="2" operator="equal">
      <formula>"DISPONIBLE"</formula>
    </cfRule>
  </conditionalFormatting>
  <conditionalFormatting sqref="C5:C181">
    <cfRule type="cellIs" dxfId="6" priority="3" operator="equal">
      <formula>"PERDIDO"</formula>
    </cfRule>
  </conditionalFormatting>
  <conditionalFormatting sqref="C5:C181">
    <cfRule type="cellIs" dxfId="7" priority="4" operator="equal">
      <formula>"POR ASIGNAR"</formula>
    </cfRule>
  </conditionalFormatting>
  <dataValidations>
    <dataValidation type="list" allowBlank="1" showErrorMessage="1" sqref="C5:C381">
      <formula1>val_EstadoCred</formula1>
    </dataValidation>
    <dataValidation type="list" allowBlank="1" showErrorMessage="1" sqref="G5:G381">
      <formula1>val_Regional</formula1>
    </dataValidation>
    <dataValidation type="list" allowBlank="1" showErrorMessage="1" sqref="F5:F381">
      <formula1>val_Supervisor</formula1>
    </dataValidation>
    <dataValidation type="list" allowBlank="1" showErrorMessage="1" sqref="B5:B381">
      <formula1>val_Generacion</formula1>
    </dataValidation>
  </dataValidations>
  <printOptions/>
  <pageMargins bottom="0.6" footer="0.0" header="0.0" left="0.5" right="0.5" top="0.6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86C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29"/>
    <col customWidth="1" min="2" max="2" width="41.29"/>
    <col customWidth="1" min="3" max="3" width="14.71"/>
    <col customWidth="1" min="4" max="4" width="36.43"/>
    <col customWidth="1" min="5" max="5" width="16.57"/>
    <col customWidth="1" min="6" max="6" width="11.0"/>
    <col customWidth="1" min="7" max="7" width="16.0"/>
    <col customWidth="1" min="8" max="8" width="28.0"/>
    <col customWidth="1" min="9" max="26" width="8.86"/>
  </cols>
  <sheetData>
    <row r="1" ht="30.0" customHeight="1">
      <c r="A1" s="1" t="s">
        <v>389</v>
      </c>
      <c r="B1" s="2"/>
      <c r="C1" s="2"/>
      <c r="D1" s="2"/>
      <c r="E1" s="2"/>
      <c r="F1" s="2"/>
      <c r="G1" s="2"/>
      <c r="H1" s="3"/>
    </row>
    <row r="2">
      <c r="A2" s="4" t="s">
        <v>23</v>
      </c>
      <c r="B2" s="5"/>
      <c r="C2" s="5"/>
      <c r="D2" s="5"/>
      <c r="E2" s="5"/>
      <c r="F2" s="5"/>
      <c r="G2" s="5"/>
      <c r="H2" s="6"/>
    </row>
    <row r="3" ht="45.75" customHeight="1">
      <c r="A3" s="7" t="s">
        <v>390</v>
      </c>
      <c r="B3" s="5"/>
      <c r="C3" s="5"/>
      <c r="D3" s="5"/>
      <c r="E3" s="5"/>
      <c r="F3" s="5"/>
      <c r="G3" s="5"/>
      <c r="H3" s="6"/>
    </row>
    <row r="4">
      <c r="A4" s="25" t="s">
        <v>58</v>
      </c>
      <c r="B4" s="25" t="s">
        <v>391</v>
      </c>
      <c r="C4" s="25" t="s">
        <v>392</v>
      </c>
      <c r="D4" s="25" t="s">
        <v>47</v>
      </c>
      <c r="E4" s="25" t="s">
        <v>38</v>
      </c>
      <c r="F4" s="25" t="s">
        <v>40</v>
      </c>
      <c r="G4" s="25" t="s">
        <v>393</v>
      </c>
      <c r="H4" s="25" t="s">
        <v>63</v>
      </c>
    </row>
    <row r="5">
      <c r="A5" s="27" t="s">
        <v>394</v>
      </c>
      <c r="B5" s="26" t="s">
        <v>166</v>
      </c>
      <c r="C5" s="27" t="s">
        <v>395</v>
      </c>
      <c r="D5" s="26" t="s">
        <v>166</v>
      </c>
      <c r="E5" s="26" t="s">
        <v>95</v>
      </c>
      <c r="F5" s="27" t="s">
        <v>396</v>
      </c>
      <c r="G5" s="27" t="s">
        <v>203</v>
      </c>
      <c r="H5" s="26" t="s">
        <v>96</v>
      </c>
    </row>
    <row r="6">
      <c r="A6" s="27" t="s">
        <v>394</v>
      </c>
      <c r="B6" s="26" t="s">
        <v>165</v>
      </c>
      <c r="C6" s="27" t="s">
        <v>397</v>
      </c>
      <c r="D6" s="26" t="s">
        <v>166</v>
      </c>
      <c r="E6" s="26" t="s">
        <v>95</v>
      </c>
      <c r="F6" s="27" t="s">
        <v>396</v>
      </c>
      <c r="G6" s="27" t="s">
        <v>164</v>
      </c>
      <c r="H6" s="26" t="s">
        <v>96</v>
      </c>
    </row>
    <row r="7">
      <c r="A7" s="27" t="s">
        <v>394</v>
      </c>
      <c r="B7" s="26" t="s">
        <v>240</v>
      </c>
      <c r="C7" s="27" t="s">
        <v>397</v>
      </c>
      <c r="D7" s="26" t="s">
        <v>166</v>
      </c>
      <c r="E7" s="26" t="s">
        <v>95</v>
      </c>
      <c r="F7" s="27" t="s">
        <v>396</v>
      </c>
      <c r="G7" s="27" t="s">
        <v>239</v>
      </c>
      <c r="H7" s="26" t="s">
        <v>96</v>
      </c>
    </row>
    <row r="8">
      <c r="A8" s="27" t="s">
        <v>394</v>
      </c>
      <c r="B8" s="26" t="s">
        <v>214</v>
      </c>
      <c r="C8" s="27" t="s">
        <v>397</v>
      </c>
      <c r="D8" s="26" t="s">
        <v>166</v>
      </c>
      <c r="E8" s="26" t="s">
        <v>95</v>
      </c>
      <c r="F8" s="27" t="s">
        <v>396</v>
      </c>
      <c r="G8" s="27" t="s">
        <v>213</v>
      </c>
      <c r="H8" s="26" t="s">
        <v>96</v>
      </c>
    </row>
    <row r="9">
      <c r="A9" s="27" t="s">
        <v>394</v>
      </c>
      <c r="B9" s="26" t="s">
        <v>238</v>
      </c>
      <c r="C9" s="27" t="s">
        <v>397</v>
      </c>
      <c r="D9" s="26" t="s">
        <v>166</v>
      </c>
      <c r="E9" s="26" t="s">
        <v>95</v>
      </c>
      <c r="F9" s="27" t="s">
        <v>396</v>
      </c>
      <c r="G9" s="27" t="s">
        <v>237</v>
      </c>
      <c r="H9" s="26" t="s">
        <v>96</v>
      </c>
    </row>
    <row r="10">
      <c r="A10" s="27" t="s">
        <v>394</v>
      </c>
      <c r="B10" s="26" t="s">
        <v>231</v>
      </c>
      <c r="C10" s="27" t="s">
        <v>397</v>
      </c>
      <c r="D10" s="26" t="s">
        <v>166</v>
      </c>
      <c r="E10" s="26" t="s">
        <v>95</v>
      </c>
      <c r="F10" s="27" t="s">
        <v>396</v>
      </c>
      <c r="G10" s="27" t="s">
        <v>230</v>
      </c>
      <c r="H10" s="26" t="s">
        <v>96</v>
      </c>
    </row>
    <row r="11">
      <c r="A11" s="27" t="s">
        <v>394</v>
      </c>
      <c r="B11" s="26" t="s">
        <v>242</v>
      </c>
      <c r="C11" s="27" t="s">
        <v>397</v>
      </c>
      <c r="D11" s="26" t="s">
        <v>166</v>
      </c>
      <c r="E11" s="26" t="s">
        <v>95</v>
      </c>
      <c r="F11" s="27" t="s">
        <v>396</v>
      </c>
      <c r="G11" s="27" t="s">
        <v>241</v>
      </c>
      <c r="H11" s="26" t="s">
        <v>96</v>
      </c>
    </row>
    <row r="12">
      <c r="A12" s="27" t="s">
        <v>394</v>
      </c>
      <c r="B12" s="26" t="s">
        <v>233</v>
      </c>
      <c r="C12" s="27" t="s">
        <v>397</v>
      </c>
      <c r="D12" s="26" t="s">
        <v>166</v>
      </c>
      <c r="E12" s="26" t="s">
        <v>95</v>
      </c>
      <c r="F12" s="27" t="s">
        <v>396</v>
      </c>
      <c r="G12" s="27" t="s">
        <v>232</v>
      </c>
      <c r="H12" s="26" t="s">
        <v>96</v>
      </c>
    </row>
    <row r="13">
      <c r="A13" s="27" t="s">
        <v>394</v>
      </c>
      <c r="B13" s="26" t="s">
        <v>221</v>
      </c>
      <c r="C13" s="27" t="s">
        <v>397</v>
      </c>
      <c r="D13" s="26" t="s">
        <v>166</v>
      </c>
      <c r="E13" s="26" t="s">
        <v>95</v>
      </c>
      <c r="F13" s="27" t="s">
        <v>396</v>
      </c>
      <c r="G13" s="27" t="s">
        <v>220</v>
      </c>
      <c r="H13" s="26" t="s">
        <v>96</v>
      </c>
    </row>
    <row r="14">
      <c r="A14" s="27" t="s">
        <v>394</v>
      </c>
      <c r="B14" s="26" t="s">
        <v>94</v>
      </c>
      <c r="C14" s="27" t="s">
        <v>395</v>
      </c>
      <c r="D14" s="26" t="s">
        <v>94</v>
      </c>
      <c r="E14" s="26" t="s">
        <v>95</v>
      </c>
      <c r="F14" s="27" t="s">
        <v>396</v>
      </c>
      <c r="G14" s="27" t="s">
        <v>106</v>
      </c>
      <c r="H14" s="26" t="s">
        <v>96</v>
      </c>
    </row>
    <row r="15">
      <c r="A15" s="27" t="s">
        <v>394</v>
      </c>
      <c r="B15" s="26" t="s">
        <v>102</v>
      </c>
      <c r="C15" s="27" t="s">
        <v>397</v>
      </c>
      <c r="D15" s="26" t="s">
        <v>94</v>
      </c>
      <c r="E15" s="26" t="s">
        <v>95</v>
      </c>
      <c r="F15" s="27" t="s">
        <v>396</v>
      </c>
      <c r="G15" s="27" t="s">
        <v>101</v>
      </c>
      <c r="H15" s="26" t="s">
        <v>96</v>
      </c>
    </row>
    <row r="16">
      <c r="A16" s="27" t="s">
        <v>394</v>
      </c>
      <c r="B16" s="26" t="s">
        <v>119</v>
      </c>
      <c r="C16" s="27" t="s">
        <v>397</v>
      </c>
      <c r="D16" s="26" t="s">
        <v>94</v>
      </c>
      <c r="E16" s="26" t="s">
        <v>95</v>
      </c>
      <c r="F16" s="27" t="s">
        <v>396</v>
      </c>
      <c r="G16" s="27" t="s">
        <v>118</v>
      </c>
      <c r="H16" s="26" t="s">
        <v>96</v>
      </c>
    </row>
    <row r="17">
      <c r="A17" s="27" t="s">
        <v>394</v>
      </c>
      <c r="B17" s="26" t="s">
        <v>108</v>
      </c>
      <c r="C17" s="27" t="s">
        <v>397</v>
      </c>
      <c r="D17" s="26" t="s">
        <v>94</v>
      </c>
      <c r="E17" s="26" t="s">
        <v>95</v>
      </c>
      <c r="F17" s="27" t="s">
        <v>396</v>
      </c>
      <c r="G17" s="27" t="s">
        <v>107</v>
      </c>
      <c r="H17" s="26" t="s">
        <v>96</v>
      </c>
    </row>
    <row r="18">
      <c r="A18" s="27" t="s">
        <v>394</v>
      </c>
      <c r="B18" s="26" t="s">
        <v>112</v>
      </c>
      <c r="C18" s="27" t="s">
        <v>397</v>
      </c>
      <c r="D18" s="26" t="s">
        <v>94</v>
      </c>
      <c r="E18" s="26" t="s">
        <v>95</v>
      </c>
      <c r="F18" s="27" t="s">
        <v>396</v>
      </c>
      <c r="G18" s="27" t="s">
        <v>111</v>
      </c>
      <c r="H18" s="26" t="s">
        <v>96</v>
      </c>
    </row>
    <row r="19">
      <c r="A19" s="27" t="s">
        <v>394</v>
      </c>
      <c r="B19" s="26" t="s">
        <v>98</v>
      </c>
      <c r="C19" s="27" t="s">
        <v>397</v>
      </c>
      <c r="D19" s="26" t="s">
        <v>94</v>
      </c>
      <c r="E19" s="26" t="s">
        <v>95</v>
      </c>
      <c r="F19" s="27" t="s">
        <v>396</v>
      </c>
      <c r="G19" s="27" t="s">
        <v>97</v>
      </c>
      <c r="H19" s="26" t="s">
        <v>398</v>
      </c>
    </row>
    <row r="20">
      <c r="A20" s="27" t="s">
        <v>394</v>
      </c>
      <c r="B20" s="26" t="s">
        <v>100</v>
      </c>
      <c r="C20" s="27" t="s">
        <v>397</v>
      </c>
      <c r="D20" s="26" t="s">
        <v>94</v>
      </c>
      <c r="E20" s="26" t="s">
        <v>95</v>
      </c>
      <c r="F20" s="27" t="s">
        <v>396</v>
      </c>
      <c r="G20" s="27" t="s">
        <v>99</v>
      </c>
      <c r="H20" s="26" t="s">
        <v>96</v>
      </c>
    </row>
    <row r="21" ht="15.75" customHeight="1">
      <c r="A21" s="27" t="s">
        <v>394</v>
      </c>
      <c r="B21" s="26" t="s">
        <v>93</v>
      </c>
      <c r="C21" s="27" t="s">
        <v>397</v>
      </c>
      <c r="D21" s="26" t="s">
        <v>94</v>
      </c>
      <c r="E21" s="26" t="s">
        <v>95</v>
      </c>
      <c r="F21" s="27" t="s">
        <v>396</v>
      </c>
      <c r="G21" s="27" t="s">
        <v>90</v>
      </c>
      <c r="H21" s="26" t="s">
        <v>96</v>
      </c>
    </row>
    <row r="22" ht="15.75" customHeight="1">
      <c r="A22" s="27" t="s">
        <v>394</v>
      </c>
      <c r="B22" s="26" t="s">
        <v>110</v>
      </c>
      <c r="C22" s="27" t="s">
        <v>397</v>
      </c>
      <c r="D22" s="26" t="s">
        <v>94</v>
      </c>
      <c r="E22" s="26" t="s">
        <v>95</v>
      </c>
      <c r="F22" s="27" t="s">
        <v>396</v>
      </c>
      <c r="G22" s="27" t="s">
        <v>109</v>
      </c>
      <c r="H22" s="26" t="s">
        <v>96</v>
      </c>
    </row>
    <row r="23" ht="15.75" customHeight="1">
      <c r="A23" s="27" t="s">
        <v>394</v>
      </c>
      <c r="B23" s="26" t="s">
        <v>305</v>
      </c>
      <c r="C23" s="27" t="s">
        <v>395</v>
      </c>
      <c r="D23" s="26" t="s">
        <v>305</v>
      </c>
      <c r="E23" s="26" t="s">
        <v>95</v>
      </c>
      <c r="F23" s="27" t="s">
        <v>396</v>
      </c>
      <c r="G23" s="27" t="s">
        <v>96</v>
      </c>
      <c r="H23" s="26" t="s">
        <v>399</v>
      </c>
    </row>
    <row r="24" ht="15.75" customHeight="1">
      <c r="A24" s="27" t="s">
        <v>394</v>
      </c>
      <c r="B24" s="26" t="s">
        <v>133</v>
      </c>
      <c r="C24" s="27" t="s">
        <v>395</v>
      </c>
      <c r="D24" s="26" t="s">
        <v>133</v>
      </c>
      <c r="E24" s="26" t="s">
        <v>123</v>
      </c>
      <c r="F24" s="27" t="s">
        <v>396</v>
      </c>
      <c r="G24" s="27" t="s">
        <v>181</v>
      </c>
      <c r="H24" s="26" t="s">
        <v>400</v>
      </c>
    </row>
    <row r="25" ht="15.75" customHeight="1">
      <c r="A25" s="27" t="s">
        <v>394</v>
      </c>
      <c r="B25" s="26" t="s">
        <v>173</v>
      </c>
      <c r="C25" s="27" t="s">
        <v>397</v>
      </c>
      <c r="D25" s="26" t="s">
        <v>133</v>
      </c>
      <c r="E25" s="26" t="s">
        <v>123</v>
      </c>
      <c r="F25" s="27" t="s">
        <v>396</v>
      </c>
      <c r="G25" s="27" t="s">
        <v>172</v>
      </c>
      <c r="H25" s="26" t="s">
        <v>96</v>
      </c>
    </row>
    <row r="26" ht="15.75" customHeight="1">
      <c r="A26" s="27" t="s">
        <v>394</v>
      </c>
      <c r="B26" s="26" t="s">
        <v>132</v>
      </c>
      <c r="C26" s="27" t="s">
        <v>397</v>
      </c>
      <c r="D26" s="26" t="s">
        <v>133</v>
      </c>
      <c r="E26" s="26" t="s">
        <v>123</v>
      </c>
      <c r="F26" s="27" t="s">
        <v>396</v>
      </c>
      <c r="G26" s="27" t="s">
        <v>131</v>
      </c>
      <c r="H26" s="26" t="s">
        <v>96</v>
      </c>
    </row>
    <row r="27" ht="15.75" customHeight="1">
      <c r="A27" s="27" t="s">
        <v>394</v>
      </c>
      <c r="B27" s="26" t="s">
        <v>401</v>
      </c>
      <c r="C27" s="27" t="s">
        <v>397</v>
      </c>
      <c r="D27" s="26" t="s">
        <v>133</v>
      </c>
      <c r="E27" s="26" t="s">
        <v>123</v>
      </c>
      <c r="F27" s="27" t="s">
        <v>402</v>
      </c>
      <c r="G27" s="27" t="s">
        <v>96</v>
      </c>
      <c r="H27" s="26" t="s">
        <v>96</v>
      </c>
    </row>
    <row r="28" ht="15.75" customHeight="1">
      <c r="A28" s="27" t="s">
        <v>394</v>
      </c>
      <c r="B28" s="26" t="s">
        <v>180</v>
      </c>
      <c r="C28" s="27" t="s">
        <v>397</v>
      </c>
      <c r="D28" s="26" t="s">
        <v>133</v>
      </c>
      <c r="E28" s="26" t="s">
        <v>123</v>
      </c>
      <c r="F28" s="27" t="s">
        <v>396</v>
      </c>
      <c r="G28" s="27" t="s">
        <v>179</v>
      </c>
      <c r="H28" s="26" t="s">
        <v>96</v>
      </c>
    </row>
    <row r="29" ht="15.75" customHeight="1">
      <c r="A29" s="27" t="s">
        <v>394</v>
      </c>
      <c r="B29" s="26" t="s">
        <v>403</v>
      </c>
      <c r="C29" s="27" t="s">
        <v>397</v>
      </c>
      <c r="D29" s="26" t="s">
        <v>133</v>
      </c>
      <c r="E29" s="26" t="s">
        <v>123</v>
      </c>
      <c r="F29" s="27" t="s">
        <v>396</v>
      </c>
      <c r="G29" s="27" t="s">
        <v>181</v>
      </c>
      <c r="H29" s="26" t="s">
        <v>404</v>
      </c>
    </row>
    <row r="30" ht="15.75" customHeight="1">
      <c r="A30" s="27" t="s">
        <v>394</v>
      </c>
      <c r="B30" s="26" t="s">
        <v>150</v>
      </c>
      <c r="C30" s="27" t="s">
        <v>397</v>
      </c>
      <c r="D30" s="26" t="s">
        <v>133</v>
      </c>
      <c r="E30" s="26" t="s">
        <v>123</v>
      </c>
      <c r="F30" s="27" t="s">
        <v>396</v>
      </c>
      <c r="G30" s="27" t="s">
        <v>149</v>
      </c>
      <c r="H30" s="26" t="s">
        <v>96</v>
      </c>
    </row>
    <row r="31" ht="15.75" customHeight="1">
      <c r="A31" s="27" t="s">
        <v>394</v>
      </c>
      <c r="B31" s="26" t="s">
        <v>162</v>
      </c>
      <c r="C31" s="27" t="s">
        <v>397</v>
      </c>
      <c r="D31" s="26" t="s">
        <v>133</v>
      </c>
      <c r="E31" s="26" t="s">
        <v>123</v>
      </c>
      <c r="F31" s="30" t="s">
        <v>402</v>
      </c>
      <c r="G31" s="27" t="s">
        <v>67</v>
      </c>
      <c r="H31" s="26" t="s">
        <v>96</v>
      </c>
    </row>
    <row r="32" ht="15.75" customHeight="1">
      <c r="A32" s="27" t="s">
        <v>394</v>
      </c>
      <c r="B32" s="26" t="s">
        <v>205</v>
      </c>
      <c r="C32" s="27" t="s">
        <v>397</v>
      </c>
      <c r="D32" s="26" t="s">
        <v>133</v>
      </c>
      <c r="E32" s="26" t="s">
        <v>123</v>
      </c>
      <c r="F32" s="27" t="s">
        <v>396</v>
      </c>
      <c r="G32" s="27" t="s">
        <v>204</v>
      </c>
      <c r="H32" s="26" t="s">
        <v>96</v>
      </c>
    </row>
    <row r="33" ht="15.75" customHeight="1">
      <c r="A33" s="27" t="s">
        <v>394</v>
      </c>
      <c r="B33" s="26" t="s">
        <v>122</v>
      </c>
      <c r="C33" s="27" t="s">
        <v>395</v>
      </c>
      <c r="D33" s="26" t="s">
        <v>122</v>
      </c>
      <c r="E33" s="26" t="s">
        <v>123</v>
      </c>
      <c r="F33" s="27" t="s">
        <v>396</v>
      </c>
      <c r="G33" s="27" t="s">
        <v>317</v>
      </c>
      <c r="H33" s="26" t="s">
        <v>405</v>
      </c>
    </row>
    <row r="34" ht="15.75" customHeight="1">
      <c r="A34" s="27" t="s">
        <v>394</v>
      </c>
      <c r="B34" s="26" t="s">
        <v>406</v>
      </c>
      <c r="C34" s="27" t="s">
        <v>397</v>
      </c>
      <c r="D34" s="26" t="s">
        <v>122</v>
      </c>
      <c r="E34" s="26" t="s">
        <v>123</v>
      </c>
      <c r="F34" s="27" t="s">
        <v>402</v>
      </c>
      <c r="G34" s="27" t="s">
        <v>96</v>
      </c>
      <c r="H34" s="26" t="s">
        <v>96</v>
      </c>
    </row>
    <row r="35" ht="15.75" customHeight="1">
      <c r="A35" s="27" t="s">
        <v>394</v>
      </c>
      <c r="B35" s="26" t="s">
        <v>316</v>
      </c>
      <c r="C35" s="27" t="s">
        <v>397</v>
      </c>
      <c r="D35" s="26" t="s">
        <v>122</v>
      </c>
      <c r="E35" s="26" t="s">
        <v>123</v>
      </c>
      <c r="F35" s="27" t="s">
        <v>396</v>
      </c>
      <c r="G35" s="27" t="s">
        <v>315</v>
      </c>
      <c r="H35" s="26" t="s">
        <v>96</v>
      </c>
    </row>
    <row r="36" ht="15.75" customHeight="1">
      <c r="A36" s="27" t="s">
        <v>394</v>
      </c>
      <c r="B36" s="26" t="s">
        <v>407</v>
      </c>
      <c r="C36" s="27" t="s">
        <v>397</v>
      </c>
      <c r="D36" s="26" t="s">
        <v>122</v>
      </c>
      <c r="E36" s="26" t="s">
        <v>123</v>
      </c>
      <c r="F36" s="27" t="s">
        <v>402</v>
      </c>
      <c r="G36" s="27" t="s">
        <v>96</v>
      </c>
      <c r="H36" s="26" t="s">
        <v>96</v>
      </c>
    </row>
    <row r="37" ht="15.75" customHeight="1">
      <c r="A37" s="27" t="s">
        <v>394</v>
      </c>
      <c r="B37" s="26" t="s">
        <v>408</v>
      </c>
      <c r="C37" s="27" t="s">
        <v>397</v>
      </c>
      <c r="D37" s="26" t="s">
        <v>122</v>
      </c>
      <c r="E37" s="26" t="s">
        <v>123</v>
      </c>
      <c r="F37" s="27" t="s">
        <v>402</v>
      </c>
      <c r="G37" s="27" t="s">
        <v>96</v>
      </c>
      <c r="H37" s="26" t="s">
        <v>96</v>
      </c>
    </row>
    <row r="38" ht="15.75" customHeight="1">
      <c r="A38" s="27" t="s">
        <v>394</v>
      </c>
      <c r="B38" s="26" t="s">
        <v>409</v>
      </c>
      <c r="C38" s="27" t="s">
        <v>397</v>
      </c>
      <c r="D38" s="26" t="s">
        <v>122</v>
      </c>
      <c r="E38" s="26" t="s">
        <v>123</v>
      </c>
      <c r="F38" s="27" t="s">
        <v>402</v>
      </c>
      <c r="G38" s="27" t="s">
        <v>96</v>
      </c>
      <c r="H38" s="26" t="s">
        <v>96</v>
      </c>
    </row>
    <row r="39" ht="15.75" customHeight="1">
      <c r="A39" s="27" t="s">
        <v>394</v>
      </c>
      <c r="B39" s="26" t="s">
        <v>187</v>
      </c>
      <c r="C39" s="27" t="s">
        <v>397</v>
      </c>
      <c r="D39" s="26" t="s">
        <v>122</v>
      </c>
      <c r="E39" s="26" t="s">
        <v>123</v>
      </c>
      <c r="F39" s="27" t="s">
        <v>396</v>
      </c>
      <c r="G39" s="27" t="s">
        <v>186</v>
      </c>
      <c r="H39" s="26" t="s">
        <v>96</v>
      </c>
    </row>
    <row r="40" ht="15.75" customHeight="1">
      <c r="A40" s="27" t="s">
        <v>394</v>
      </c>
      <c r="B40" s="26" t="s">
        <v>410</v>
      </c>
      <c r="C40" s="27" t="s">
        <v>397</v>
      </c>
      <c r="D40" s="26" t="s">
        <v>122</v>
      </c>
      <c r="E40" s="26" t="s">
        <v>123</v>
      </c>
      <c r="F40" s="27" t="s">
        <v>402</v>
      </c>
      <c r="G40" s="27" t="s">
        <v>96</v>
      </c>
      <c r="H40" s="26" t="s">
        <v>96</v>
      </c>
    </row>
    <row r="41" ht="15.75" customHeight="1">
      <c r="A41" s="27" t="s">
        <v>394</v>
      </c>
      <c r="B41" s="26" t="s">
        <v>411</v>
      </c>
      <c r="C41" s="27" t="s">
        <v>397</v>
      </c>
      <c r="D41" s="26" t="s">
        <v>122</v>
      </c>
      <c r="E41" s="26" t="s">
        <v>123</v>
      </c>
      <c r="F41" s="27" t="s">
        <v>402</v>
      </c>
      <c r="G41" s="27" t="s">
        <v>96</v>
      </c>
      <c r="H41" s="26" t="s">
        <v>96</v>
      </c>
    </row>
    <row r="42" ht="15.75" customHeight="1">
      <c r="A42" s="27" t="s">
        <v>394</v>
      </c>
      <c r="B42" s="26" t="s">
        <v>412</v>
      </c>
      <c r="C42" s="27" t="s">
        <v>397</v>
      </c>
      <c r="D42" s="26" t="s">
        <v>122</v>
      </c>
      <c r="E42" s="26" t="s">
        <v>123</v>
      </c>
      <c r="F42" s="27" t="s">
        <v>402</v>
      </c>
      <c r="G42" s="27" t="s">
        <v>96</v>
      </c>
      <c r="H42" s="26" t="s">
        <v>96</v>
      </c>
    </row>
    <row r="43" ht="15.75" customHeight="1">
      <c r="A43" s="27" t="s">
        <v>394</v>
      </c>
      <c r="B43" s="26" t="s">
        <v>413</v>
      </c>
      <c r="C43" s="27" t="s">
        <v>397</v>
      </c>
      <c r="D43" s="26" t="s">
        <v>122</v>
      </c>
      <c r="E43" s="26" t="s">
        <v>123</v>
      </c>
      <c r="F43" s="27" t="s">
        <v>402</v>
      </c>
      <c r="G43" s="27" t="s">
        <v>96</v>
      </c>
      <c r="H43" s="26" t="s">
        <v>96</v>
      </c>
    </row>
    <row r="44" ht="15.75" customHeight="1">
      <c r="A44" s="27" t="s">
        <v>394</v>
      </c>
      <c r="B44" s="26" t="s">
        <v>414</v>
      </c>
      <c r="C44" s="27" t="s">
        <v>397</v>
      </c>
      <c r="D44" s="26" t="s">
        <v>122</v>
      </c>
      <c r="E44" s="26" t="s">
        <v>123</v>
      </c>
      <c r="F44" s="27" t="s">
        <v>402</v>
      </c>
      <c r="G44" s="27" t="s">
        <v>96</v>
      </c>
      <c r="H44" s="26" t="s">
        <v>96</v>
      </c>
    </row>
    <row r="45" ht="15.75" customHeight="1">
      <c r="A45" s="27" t="s">
        <v>394</v>
      </c>
      <c r="B45" s="26" t="s">
        <v>415</v>
      </c>
      <c r="C45" s="27" t="s">
        <v>397</v>
      </c>
      <c r="D45" s="26" t="s">
        <v>122</v>
      </c>
      <c r="E45" s="26" t="s">
        <v>123</v>
      </c>
      <c r="F45" s="27" t="s">
        <v>402</v>
      </c>
      <c r="G45" s="27" t="s">
        <v>96</v>
      </c>
      <c r="H45" s="26" t="s">
        <v>96</v>
      </c>
    </row>
    <row r="46" ht="15.75" customHeight="1">
      <c r="A46" s="27" t="s">
        <v>394</v>
      </c>
      <c r="B46" s="26" t="s">
        <v>416</v>
      </c>
      <c r="C46" s="27" t="s">
        <v>397</v>
      </c>
      <c r="D46" s="26" t="s">
        <v>122</v>
      </c>
      <c r="E46" s="26" t="s">
        <v>123</v>
      </c>
      <c r="F46" s="27" t="s">
        <v>402</v>
      </c>
      <c r="G46" s="27" t="s">
        <v>96</v>
      </c>
      <c r="H46" s="26" t="s">
        <v>96</v>
      </c>
    </row>
    <row r="47" ht="15.75" customHeight="1">
      <c r="A47" s="27" t="s">
        <v>394</v>
      </c>
      <c r="B47" s="26" t="s">
        <v>417</v>
      </c>
      <c r="C47" s="27" t="s">
        <v>397</v>
      </c>
      <c r="D47" s="26" t="s">
        <v>122</v>
      </c>
      <c r="E47" s="26" t="s">
        <v>123</v>
      </c>
      <c r="F47" s="27" t="s">
        <v>402</v>
      </c>
      <c r="G47" s="27" t="s">
        <v>96</v>
      </c>
      <c r="H47" s="26" t="s">
        <v>96</v>
      </c>
    </row>
    <row r="48" ht="15.75" customHeight="1">
      <c r="A48" s="27" t="s">
        <v>394</v>
      </c>
      <c r="B48" s="26" t="s">
        <v>418</v>
      </c>
      <c r="C48" s="27" t="s">
        <v>397</v>
      </c>
      <c r="D48" s="26" t="s">
        <v>122</v>
      </c>
      <c r="E48" s="26" t="s">
        <v>123</v>
      </c>
      <c r="F48" s="27" t="s">
        <v>396</v>
      </c>
      <c r="G48" s="27" t="s">
        <v>124</v>
      </c>
      <c r="H48" s="26" t="s">
        <v>96</v>
      </c>
    </row>
    <row r="49" ht="15.75" customHeight="1">
      <c r="A49" s="27" t="s">
        <v>394</v>
      </c>
      <c r="B49" s="26" t="s">
        <v>125</v>
      </c>
      <c r="C49" s="27" t="s">
        <v>397</v>
      </c>
      <c r="D49" s="26" t="s">
        <v>122</v>
      </c>
      <c r="E49" s="26" t="s">
        <v>123</v>
      </c>
      <c r="F49" s="27" t="s">
        <v>396</v>
      </c>
      <c r="G49" s="27" t="s">
        <v>120</v>
      </c>
      <c r="H49" s="26" t="s">
        <v>419</v>
      </c>
    </row>
    <row r="50" ht="15.75" customHeight="1">
      <c r="A50" s="27" t="s">
        <v>394</v>
      </c>
      <c r="B50" s="26" t="s">
        <v>128</v>
      </c>
      <c r="C50" s="27" t="s">
        <v>395</v>
      </c>
      <c r="D50" s="26" t="s">
        <v>128</v>
      </c>
      <c r="E50" s="26" t="s">
        <v>123</v>
      </c>
      <c r="F50" s="27" t="s">
        <v>396</v>
      </c>
      <c r="G50" s="27" t="s">
        <v>171</v>
      </c>
      <c r="H50" s="26" t="s">
        <v>96</v>
      </c>
    </row>
    <row r="51" ht="15.75" customHeight="1">
      <c r="A51" s="27" t="s">
        <v>394</v>
      </c>
      <c r="B51" s="26" t="s">
        <v>319</v>
      </c>
      <c r="C51" s="27" t="s">
        <v>397</v>
      </c>
      <c r="D51" s="26" t="s">
        <v>128</v>
      </c>
      <c r="E51" s="26" t="s">
        <v>123</v>
      </c>
      <c r="F51" s="27" t="s">
        <v>396</v>
      </c>
      <c r="G51" s="27" t="s">
        <v>318</v>
      </c>
      <c r="H51" s="26" t="s">
        <v>96</v>
      </c>
    </row>
    <row r="52" ht="15.75" customHeight="1">
      <c r="A52" s="27" t="s">
        <v>394</v>
      </c>
      <c r="B52" s="26" t="s">
        <v>155</v>
      </c>
      <c r="C52" s="27" t="s">
        <v>397</v>
      </c>
      <c r="D52" s="26" t="s">
        <v>128</v>
      </c>
      <c r="E52" s="26" t="s">
        <v>123</v>
      </c>
      <c r="F52" s="27" t="s">
        <v>396</v>
      </c>
      <c r="G52" s="27" t="s">
        <v>154</v>
      </c>
      <c r="H52" s="26" t="s">
        <v>96</v>
      </c>
    </row>
    <row r="53" ht="15.75" customHeight="1">
      <c r="A53" s="27" t="s">
        <v>394</v>
      </c>
      <c r="B53" s="26" t="s">
        <v>194</v>
      </c>
      <c r="C53" s="27" t="s">
        <v>397</v>
      </c>
      <c r="D53" s="26" t="s">
        <v>128</v>
      </c>
      <c r="E53" s="26" t="s">
        <v>123</v>
      </c>
      <c r="F53" s="27" t="s">
        <v>396</v>
      </c>
      <c r="G53" s="27" t="s">
        <v>193</v>
      </c>
      <c r="H53" s="26" t="s">
        <v>96</v>
      </c>
    </row>
    <row r="54" ht="15.75" customHeight="1">
      <c r="A54" s="27" t="s">
        <v>394</v>
      </c>
      <c r="B54" s="26" t="s">
        <v>127</v>
      </c>
      <c r="C54" s="27" t="s">
        <v>397</v>
      </c>
      <c r="D54" s="26" t="s">
        <v>128</v>
      </c>
      <c r="E54" s="26" t="s">
        <v>123</v>
      </c>
      <c r="F54" s="27" t="s">
        <v>396</v>
      </c>
      <c r="G54" s="27" t="s">
        <v>126</v>
      </c>
      <c r="H54" s="26" t="s">
        <v>96</v>
      </c>
    </row>
    <row r="55" ht="15.75" customHeight="1">
      <c r="A55" s="27" t="s">
        <v>394</v>
      </c>
      <c r="B55" s="26" t="s">
        <v>420</v>
      </c>
      <c r="C55" s="27" t="s">
        <v>397</v>
      </c>
      <c r="D55" s="26" t="s">
        <v>128</v>
      </c>
      <c r="E55" s="26" t="s">
        <v>123</v>
      </c>
      <c r="F55" s="27" t="s">
        <v>402</v>
      </c>
      <c r="G55" s="27" t="s">
        <v>96</v>
      </c>
      <c r="H55" s="26" t="s">
        <v>96</v>
      </c>
    </row>
    <row r="56" ht="15.75" customHeight="1">
      <c r="A56" s="27" t="s">
        <v>394</v>
      </c>
      <c r="B56" s="26" t="s">
        <v>192</v>
      </c>
      <c r="C56" s="27" t="s">
        <v>397</v>
      </c>
      <c r="D56" s="26" t="s">
        <v>128</v>
      </c>
      <c r="E56" s="26" t="s">
        <v>123</v>
      </c>
      <c r="F56" s="27" t="s">
        <v>396</v>
      </c>
      <c r="G56" s="27" t="s">
        <v>191</v>
      </c>
      <c r="H56" s="26" t="s">
        <v>96</v>
      </c>
    </row>
    <row r="57" ht="15.75" customHeight="1">
      <c r="A57" s="27" t="s">
        <v>394</v>
      </c>
      <c r="B57" s="26" t="s">
        <v>130</v>
      </c>
      <c r="C57" s="27" t="s">
        <v>397</v>
      </c>
      <c r="D57" s="26" t="s">
        <v>128</v>
      </c>
      <c r="E57" s="26" t="s">
        <v>123</v>
      </c>
      <c r="F57" s="27" t="s">
        <v>396</v>
      </c>
      <c r="G57" s="27" t="s">
        <v>129</v>
      </c>
      <c r="H57" s="26" t="s">
        <v>96</v>
      </c>
    </row>
    <row r="58" ht="15.75" customHeight="1">
      <c r="A58" s="27" t="s">
        <v>394</v>
      </c>
      <c r="B58" s="26" t="s">
        <v>421</v>
      </c>
      <c r="C58" s="27" t="s">
        <v>395</v>
      </c>
      <c r="D58" s="26" t="s">
        <v>421</v>
      </c>
      <c r="E58" s="26" t="s">
        <v>123</v>
      </c>
      <c r="F58" s="27" t="s">
        <v>396</v>
      </c>
      <c r="G58" s="27" t="s">
        <v>96</v>
      </c>
      <c r="H58" s="26" t="s">
        <v>96</v>
      </c>
    </row>
    <row r="59" ht="15.75" customHeight="1">
      <c r="A59" s="27" t="s">
        <v>394</v>
      </c>
      <c r="B59" s="26" t="s">
        <v>422</v>
      </c>
      <c r="C59" s="27" t="s">
        <v>397</v>
      </c>
      <c r="D59" s="26" t="s">
        <v>421</v>
      </c>
      <c r="E59" s="26" t="s">
        <v>123</v>
      </c>
      <c r="F59" s="27" t="s">
        <v>402</v>
      </c>
      <c r="G59" s="27" t="s">
        <v>96</v>
      </c>
      <c r="H59" s="26" t="s">
        <v>96</v>
      </c>
    </row>
    <row r="60" ht="15.75" customHeight="1">
      <c r="A60" s="27" t="s">
        <v>394</v>
      </c>
      <c r="B60" s="26" t="s">
        <v>423</v>
      </c>
      <c r="C60" s="27" t="s">
        <v>397</v>
      </c>
      <c r="D60" s="26" t="s">
        <v>421</v>
      </c>
      <c r="E60" s="26" t="s">
        <v>123</v>
      </c>
      <c r="F60" s="27" t="s">
        <v>402</v>
      </c>
      <c r="G60" s="27" t="s">
        <v>96</v>
      </c>
      <c r="H60" s="26" t="s">
        <v>96</v>
      </c>
    </row>
    <row r="61" ht="15.75" customHeight="1">
      <c r="A61" s="27" t="s">
        <v>394</v>
      </c>
      <c r="B61" s="26" t="s">
        <v>424</v>
      </c>
      <c r="C61" s="27" t="s">
        <v>397</v>
      </c>
      <c r="D61" s="26" t="s">
        <v>421</v>
      </c>
      <c r="E61" s="26" t="s">
        <v>123</v>
      </c>
      <c r="F61" s="27" t="s">
        <v>402</v>
      </c>
      <c r="G61" s="27" t="s">
        <v>96</v>
      </c>
      <c r="H61" s="26" t="s">
        <v>96</v>
      </c>
    </row>
    <row r="62" ht="15.75" customHeight="1">
      <c r="A62" s="27" t="s">
        <v>394</v>
      </c>
      <c r="B62" s="26" t="s">
        <v>425</v>
      </c>
      <c r="C62" s="27" t="s">
        <v>397</v>
      </c>
      <c r="D62" s="26" t="s">
        <v>421</v>
      </c>
      <c r="E62" s="26" t="s">
        <v>123</v>
      </c>
      <c r="F62" s="27" t="s">
        <v>402</v>
      </c>
      <c r="G62" s="27" t="s">
        <v>96</v>
      </c>
      <c r="H62" s="26" t="s">
        <v>96</v>
      </c>
    </row>
    <row r="63" ht="15.75" customHeight="1">
      <c r="A63" s="27" t="s">
        <v>394</v>
      </c>
      <c r="B63" s="26" t="s">
        <v>426</v>
      </c>
      <c r="C63" s="27" t="s">
        <v>397</v>
      </c>
      <c r="D63" s="26" t="s">
        <v>421</v>
      </c>
      <c r="E63" s="26" t="s">
        <v>123</v>
      </c>
      <c r="F63" s="27" t="s">
        <v>396</v>
      </c>
      <c r="G63" s="27" t="s">
        <v>120</v>
      </c>
      <c r="H63" s="26" t="s">
        <v>427</v>
      </c>
    </row>
    <row r="64" ht="15.75" customHeight="1">
      <c r="A64" s="27" t="s">
        <v>394</v>
      </c>
      <c r="B64" s="26" t="s">
        <v>153</v>
      </c>
      <c r="C64" s="27" t="s">
        <v>395</v>
      </c>
      <c r="D64" s="26" t="s">
        <v>153</v>
      </c>
      <c r="E64" s="26" t="s">
        <v>123</v>
      </c>
      <c r="F64" s="27" t="s">
        <v>396</v>
      </c>
      <c r="G64" s="27" t="s">
        <v>320</v>
      </c>
      <c r="H64" s="26" t="s">
        <v>96</v>
      </c>
    </row>
    <row r="65" ht="15.75" customHeight="1">
      <c r="A65" s="27" t="s">
        <v>394</v>
      </c>
      <c r="B65" s="26" t="s">
        <v>178</v>
      </c>
      <c r="C65" s="27" t="s">
        <v>397</v>
      </c>
      <c r="D65" s="26" t="s">
        <v>153</v>
      </c>
      <c r="E65" s="26" t="s">
        <v>123</v>
      </c>
      <c r="F65" s="27" t="s">
        <v>396</v>
      </c>
      <c r="G65" s="27" t="s">
        <v>177</v>
      </c>
      <c r="H65" s="26" t="s">
        <v>96</v>
      </c>
    </row>
    <row r="66" ht="15.75" customHeight="1">
      <c r="A66" s="27" t="s">
        <v>394</v>
      </c>
      <c r="B66" s="26" t="s">
        <v>428</v>
      </c>
      <c r="C66" s="27" t="s">
        <v>397</v>
      </c>
      <c r="D66" s="26" t="s">
        <v>153</v>
      </c>
      <c r="E66" s="26" t="s">
        <v>123</v>
      </c>
      <c r="F66" s="27" t="s">
        <v>402</v>
      </c>
      <c r="G66" s="27" t="s">
        <v>96</v>
      </c>
      <c r="H66" s="26" t="s">
        <v>96</v>
      </c>
    </row>
    <row r="67" ht="15.75" customHeight="1">
      <c r="A67" s="27" t="s">
        <v>394</v>
      </c>
      <c r="B67" s="26" t="s">
        <v>429</v>
      </c>
      <c r="C67" s="27" t="s">
        <v>397</v>
      </c>
      <c r="D67" s="26" t="s">
        <v>153</v>
      </c>
      <c r="E67" s="26" t="s">
        <v>123</v>
      </c>
      <c r="F67" s="27" t="s">
        <v>402</v>
      </c>
      <c r="G67" s="27" t="s">
        <v>96</v>
      </c>
      <c r="H67" s="26" t="s">
        <v>96</v>
      </c>
    </row>
    <row r="68" ht="15.75" customHeight="1">
      <c r="A68" s="27" t="s">
        <v>394</v>
      </c>
      <c r="B68" s="26" t="s">
        <v>168</v>
      </c>
      <c r="C68" s="27" t="s">
        <v>397</v>
      </c>
      <c r="D68" s="26" t="s">
        <v>153</v>
      </c>
      <c r="E68" s="26" t="s">
        <v>123</v>
      </c>
      <c r="F68" s="27" t="s">
        <v>396</v>
      </c>
      <c r="G68" s="27" t="s">
        <v>167</v>
      </c>
      <c r="H68" s="26" t="s">
        <v>96</v>
      </c>
    </row>
    <row r="69" ht="15.75" customHeight="1">
      <c r="A69" s="27" t="s">
        <v>394</v>
      </c>
      <c r="B69" s="26" t="s">
        <v>430</v>
      </c>
      <c r="C69" s="27" t="s">
        <v>397</v>
      </c>
      <c r="D69" s="26" t="s">
        <v>153</v>
      </c>
      <c r="E69" s="26" t="s">
        <v>123</v>
      </c>
      <c r="F69" s="27" t="s">
        <v>402</v>
      </c>
      <c r="G69" s="27" t="s">
        <v>96</v>
      </c>
      <c r="H69" s="26" t="s">
        <v>96</v>
      </c>
    </row>
    <row r="70" ht="15.75" customHeight="1">
      <c r="A70" s="27" t="s">
        <v>394</v>
      </c>
      <c r="B70" s="26" t="s">
        <v>190</v>
      </c>
      <c r="C70" s="27" t="s">
        <v>397</v>
      </c>
      <c r="D70" s="26" t="s">
        <v>153</v>
      </c>
      <c r="E70" s="26" t="s">
        <v>123</v>
      </c>
      <c r="F70" s="27" t="s">
        <v>396</v>
      </c>
      <c r="G70" s="27" t="s">
        <v>189</v>
      </c>
      <c r="H70" s="26" t="s">
        <v>96</v>
      </c>
    </row>
    <row r="71" ht="15.75" customHeight="1">
      <c r="A71" s="27" t="s">
        <v>394</v>
      </c>
      <c r="B71" s="26" t="s">
        <v>170</v>
      </c>
      <c r="C71" s="27" t="s">
        <v>397</v>
      </c>
      <c r="D71" s="26" t="s">
        <v>153</v>
      </c>
      <c r="E71" s="26" t="s">
        <v>123</v>
      </c>
      <c r="F71" s="27" t="s">
        <v>396</v>
      </c>
      <c r="G71" s="27" t="s">
        <v>169</v>
      </c>
      <c r="H71" s="26" t="s">
        <v>96</v>
      </c>
    </row>
    <row r="72" ht="15.75" customHeight="1">
      <c r="A72" s="27" t="s">
        <v>394</v>
      </c>
      <c r="B72" s="26" t="s">
        <v>176</v>
      </c>
      <c r="C72" s="27" t="s">
        <v>397</v>
      </c>
      <c r="D72" s="26" t="s">
        <v>153</v>
      </c>
      <c r="E72" s="26" t="s">
        <v>123</v>
      </c>
      <c r="F72" s="27" t="s">
        <v>396</v>
      </c>
      <c r="G72" s="27" t="s">
        <v>175</v>
      </c>
      <c r="H72" s="26" t="s">
        <v>96</v>
      </c>
    </row>
    <row r="73" ht="15.75" customHeight="1">
      <c r="A73" s="27" t="s">
        <v>394</v>
      </c>
      <c r="B73" s="26" t="s">
        <v>152</v>
      </c>
      <c r="C73" s="27" t="s">
        <v>397</v>
      </c>
      <c r="D73" s="26" t="s">
        <v>153</v>
      </c>
      <c r="E73" s="26" t="s">
        <v>123</v>
      </c>
      <c r="F73" s="27" t="s">
        <v>396</v>
      </c>
      <c r="G73" s="27" t="s">
        <v>151</v>
      </c>
      <c r="H73" s="26" t="s">
        <v>96</v>
      </c>
    </row>
    <row r="74" ht="15.75" customHeight="1">
      <c r="A74" s="27" t="s">
        <v>394</v>
      </c>
      <c r="B74" s="26" t="s">
        <v>185</v>
      </c>
      <c r="C74" s="27" t="s">
        <v>397</v>
      </c>
      <c r="D74" s="26" t="s">
        <v>153</v>
      </c>
      <c r="E74" s="26" t="s">
        <v>123</v>
      </c>
      <c r="F74" s="27" t="s">
        <v>396</v>
      </c>
      <c r="G74" s="27" t="s">
        <v>184</v>
      </c>
      <c r="H74" s="26" t="s">
        <v>96</v>
      </c>
    </row>
    <row r="75" ht="15.75" customHeight="1">
      <c r="A75" s="27" t="s">
        <v>394</v>
      </c>
      <c r="B75" s="26" t="s">
        <v>431</v>
      </c>
      <c r="C75" s="27" t="s">
        <v>397</v>
      </c>
      <c r="D75" s="26" t="s">
        <v>153</v>
      </c>
      <c r="E75" s="26" t="s">
        <v>123</v>
      </c>
      <c r="F75" s="27" t="s">
        <v>402</v>
      </c>
      <c r="G75" s="27" t="s">
        <v>96</v>
      </c>
      <c r="H75" s="26" t="s">
        <v>96</v>
      </c>
    </row>
    <row r="76" ht="15.75" customHeight="1">
      <c r="A76" s="27" t="s">
        <v>394</v>
      </c>
      <c r="B76" s="26" t="s">
        <v>322</v>
      </c>
      <c r="C76" s="27" t="s">
        <v>397</v>
      </c>
      <c r="D76" s="26" t="s">
        <v>153</v>
      </c>
      <c r="E76" s="26" t="s">
        <v>123</v>
      </c>
      <c r="F76" s="27" t="s">
        <v>396</v>
      </c>
      <c r="G76" s="27" t="s">
        <v>321</v>
      </c>
      <c r="H76" s="26" t="s">
        <v>96</v>
      </c>
    </row>
    <row r="77" ht="15.75" customHeight="1">
      <c r="A77" s="27" t="s">
        <v>394</v>
      </c>
      <c r="B77" s="26" t="s">
        <v>324</v>
      </c>
      <c r="C77" s="27" t="s">
        <v>397</v>
      </c>
      <c r="D77" s="26" t="s">
        <v>153</v>
      </c>
      <c r="E77" s="26" t="s">
        <v>123</v>
      </c>
      <c r="F77" s="27" t="s">
        <v>396</v>
      </c>
      <c r="G77" s="27" t="s">
        <v>323</v>
      </c>
      <c r="H77" s="26" t="s">
        <v>96</v>
      </c>
    </row>
    <row r="78" ht="15.75" customHeight="1">
      <c r="A78" s="27" t="s">
        <v>394</v>
      </c>
      <c r="B78" s="26" t="s">
        <v>432</v>
      </c>
      <c r="C78" s="27" t="s">
        <v>397</v>
      </c>
      <c r="D78" s="26" t="s">
        <v>153</v>
      </c>
      <c r="E78" s="26" t="s">
        <v>123</v>
      </c>
      <c r="F78" s="27" t="s">
        <v>402</v>
      </c>
      <c r="G78" s="27" t="s">
        <v>96</v>
      </c>
      <c r="H78" s="26" t="s">
        <v>96</v>
      </c>
    </row>
    <row r="79" ht="15.75" customHeight="1">
      <c r="A79" s="27" t="s">
        <v>394</v>
      </c>
      <c r="B79" s="26" t="s">
        <v>433</v>
      </c>
      <c r="C79" s="27" t="s">
        <v>397</v>
      </c>
      <c r="D79" s="26" t="s">
        <v>153</v>
      </c>
      <c r="E79" s="26" t="s">
        <v>123</v>
      </c>
      <c r="F79" s="27" t="s">
        <v>402</v>
      </c>
      <c r="G79" s="27" t="s">
        <v>96</v>
      </c>
      <c r="H79" s="26" t="s">
        <v>96</v>
      </c>
    </row>
    <row r="80" ht="15.75" customHeight="1">
      <c r="A80" s="27" t="s">
        <v>394</v>
      </c>
      <c r="B80" s="26" t="s">
        <v>294</v>
      </c>
      <c r="C80" s="27" t="s">
        <v>395</v>
      </c>
      <c r="D80" s="26" t="s">
        <v>294</v>
      </c>
      <c r="E80" s="26" t="s">
        <v>123</v>
      </c>
      <c r="F80" s="27" t="s">
        <v>396</v>
      </c>
      <c r="G80" s="27" t="s">
        <v>96</v>
      </c>
      <c r="H80" s="26" t="s">
        <v>399</v>
      </c>
    </row>
    <row r="81" ht="15.75" customHeight="1">
      <c r="A81" s="27" t="s">
        <v>394</v>
      </c>
      <c r="B81" s="26" t="s">
        <v>135</v>
      </c>
      <c r="C81" s="27" t="s">
        <v>395</v>
      </c>
      <c r="D81" s="26" t="s">
        <v>135</v>
      </c>
      <c r="E81" s="26" t="s">
        <v>136</v>
      </c>
      <c r="F81" s="27" t="s">
        <v>396</v>
      </c>
      <c r="G81" s="27" t="s">
        <v>134</v>
      </c>
      <c r="H81" s="26" t="s">
        <v>96</v>
      </c>
    </row>
    <row r="82" ht="15.75" customHeight="1">
      <c r="A82" s="27" t="s">
        <v>394</v>
      </c>
      <c r="B82" s="26" t="s">
        <v>326</v>
      </c>
      <c r="C82" s="27" t="s">
        <v>397</v>
      </c>
      <c r="D82" s="26" t="s">
        <v>135</v>
      </c>
      <c r="E82" s="26" t="s">
        <v>136</v>
      </c>
      <c r="F82" s="27" t="s">
        <v>396</v>
      </c>
      <c r="G82" s="27" t="s">
        <v>325</v>
      </c>
      <c r="H82" s="26" t="s">
        <v>96</v>
      </c>
    </row>
    <row r="83" ht="15.75" customHeight="1">
      <c r="A83" s="27" t="s">
        <v>394</v>
      </c>
      <c r="B83" s="26" t="s">
        <v>328</v>
      </c>
      <c r="C83" s="27" t="s">
        <v>397</v>
      </c>
      <c r="D83" s="26" t="s">
        <v>135</v>
      </c>
      <c r="E83" s="26" t="s">
        <v>136</v>
      </c>
      <c r="F83" s="27" t="s">
        <v>396</v>
      </c>
      <c r="G83" s="27" t="s">
        <v>327</v>
      </c>
      <c r="H83" s="26" t="s">
        <v>96</v>
      </c>
    </row>
    <row r="84" ht="15.75" customHeight="1">
      <c r="A84" s="27" t="s">
        <v>394</v>
      </c>
      <c r="B84" s="26" t="s">
        <v>148</v>
      </c>
      <c r="C84" s="27" t="s">
        <v>397</v>
      </c>
      <c r="D84" s="26" t="s">
        <v>135</v>
      </c>
      <c r="E84" s="26" t="s">
        <v>136</v>
      </c>
      <c r="F84" s="27" t="s">
        <v>396</v>
      </c>
      <c r="G84" s="27" t="s">
        <v>147</v>
      </c>
      <c r="H84" s="26" t="s">
        <v>96</v>
      </c>
    </row>
    <row r="85" ht="15.75" customHeight="1">
      <c r="A85" s="27" t="s">
        <v>394</v>
      </c>
      <c r="B85" s="26" t="s">
        <v>146</v>
      </c>
      <c r="C85" s="27" t="s">
        <v>397</v>
      </c>
      <c r="D85" s="26" t="s">
        <v>135</v>
      </c>
      <c r="E85" s="26" t="s">
        <v>136</v>
      </c>
      <c r="F85" s="27" t="s">
        <v>396</v>
      </c>
      <c r="G85" s="27" t="s">
        <v>145</v>
      </c>
      <c r="H85" s="26" t="s">
        <v>96</v>
      </c>
    </row>
    <row r="86" ht="15.75" customHeight="1">
      <c r="A86" s="27" t="s">
        <v>394</v>
      </c>
      <c r="B86" s="26" t="s">
        <v>219</v>
      </c>
      <c r="C86" s="27" t="s">
        <v>397</v>
      </c>
      <c r="D86" s="26" t="s">
        <v>135</v>
      </c>
      <c r="E86" s="26" t="s">
        <v>136</v>
      </c>
      <c r="F86" s="27" t="s">
        <v>396</v>
      </c>
      <c r="G86" s="27" t="s">
        <v>218</v>
      </c>
      <c r="H86" s="26" t="s">
        <v>96</v>
      </c>
    </row>
    <row r="87" ht="15.75" customHeight="1">
      <c r="A87" s="27" t="s">
        <v>394</v>
      </c>
      <c r="B87" s="26" t="s">
        <v>434</v>
      </c>
      <c r="C87" s="27" t="s">
        <v>397</v>
      </c>
      <c r="D87" s="26" t="s">
        <v>135</v>
      </c>
      <c r="E87" s="26" t="s">
        <v>136</v>
      </c>
      <c r="F87" s="27" t="s">
        <v>402</v>
      </c>
      <c r="G87" s="27" t="s">
        <v>96</v>
      </c>
      <c r="H87" s="26" t="s">
        <v>96</v>
      </c>
    </row>
    <row r="88" ht="15.75" customHeight="1">
      <c r="A88" s="27" t="s">
        <v>394</v>
      </c>
      <c r="B88" s="26" t="s">
        <v>435</v>
      </c>
      <c r="C88" s="27" t="s">
        <v>397</v>
      </c>
      <c r="D88" s="26" t="s">
        <v>135</v>
      </c>
      <c r="E88" s="26" t="s">
        <v>136</v>
      </c>
      <c r="F88" s="27" t="s">
        <v>402</v>
      </c>
      <c r="G88" s="27" t="s">
        <v>96</v>
      </c>
      <c r="H88" s="26" t="s">
        <v>96</v>
      </c>
    </row>
    <row r="89" ht="15.75" customHeight="1">
      <c r="A89" s="27" t="s">
        <v>394</v>
      </c>
      <c r="B89" s="26" t="s">
        <v>142</v>
      </c>
      <c r="C89" s="27" t="s">
        <v>397</v>
      </c>
      <c r="D89" s="26" t="s">
        <v>135</v>
      </c>
      <c r="E89" s="26" t="s">
        <v>136</v>
      </c>
      <c r="F89" s="27" t="s">
        <v>396</v>
      </c>
      <c r="G89" s="27" t="s">
        <v>141</v>
      </c>
      <c r="H89" s="26" t="s">
        <v>96</v>
      </c>
    </row>
    <row r="90" ht="15.75" customHeight="1">
      <c r="A90" s="27" t="s">
        <v>394</v>
      </c>
      <c r="B90" s="26" t="s">
        <v>436</v>
      </c>
      <c r="C90" s="27" t="s">
        <v>397</v>
      </c>
      <c r="D90" s="26" t="s">
        <v>135</v>
      </c>
      <c r="E90" s="26" t="s">
        <v>136</v>
      </c>
      <c r="F90" s="27" t="s">
        <v>402</v>
      </c>
      <c r="G90" s="27" t="s">
        <v>96</v>
      </c>
      <c r="H90" s="26" t="s">
        <v>96</v>
      </c>
    </row>
    <row r="91" ht="15.75" customHeight="1">
      <c r="A91" s="27" t="s">
        <v>394</v>
      </c>
      <c r="B91" s="26" t="s">
        <v>138</v>
      </c>
      <c r="C91" s="27" t="s">
        <v>397</v>
      </c>
      <c r="D91" s="26" t="s">
        <v>135</v>
      </c>
      <c r="E91" s="26" t="s">
        <v>136</v>
      </c>
      <c r="F91" s="27" t="s">
        <v>396</v>
      </c>
      <c r="G91" s="27" t="s">
        <v>137</v>
      </c>
      <c r="H91" s="26" t="s">
        <v>96</v>
      </c>
    </row>
    <row r="92" ht="15.75" customHeight="1">
      <c r="A92" s="27" t="s">
        <v>394</v>
      </c>
      <c r="B92" s="26" t="s">
        <v>144</v>
      </c>
      <c r="C92" s="27" t="s">
        <v>397</v>
      </c>
      <c r="D92" s="26" t="s">
        <v>135</v>
      </c>
      <c r="E92" s="26" t="s">
        <v>136</v>
      </c>
      <c r="F92" s="27" t="s">
        <v>396</v>
      </c>
      <c r="G92" s="27" t="s">
        <v>143</v>
      </c>
      <c r="H92" s="26" t="s">
        <v>96</v>
      </c>
    </row>
    <row r="93" ht="15.75" customHeight="1">
      <c r="A93" s="27" t="s">
        <v>394</v>
      </c>
      <c r="B93" s="26" t="s">
        <v>140</v>
      </c>
      <c r="C93" s="27" t="s">
        <v>397</v>
      </c>
      <c r="D93" s="26" t="s">
        <v>135</v>
      </c>
      <c r="E93" s="26" t="s">
        <v>136</v>
      </c>
      <c r="F93" s="27" t="s">
        <v>396</v>
      </c>
      <c r="G93" s="27" t="s">
        <v>139</v>
      </c>
      <c r="H93" s="26" t="s">
        <v>96</v>
      </c>
    </row>
    <row r="94" ht="15.75" customHeight="1">
      <c r="A94" s="27" t="s">
        <v>394</v>
      </c>
      <c r="B94" s="26" t="s">
        <v>69</v>
      </c>
      <c r="C94" s="27" t="s">
        <v>395</v>
      </c>
      <c r="D94" s="26" t="s">
        <v>69</v>
      </c>
      <c r="E94" s="26" t="s">
        <v>198</v>
      </c>
      <c r="F94" s="27" t="s">
        <v>396</v>
      </c>
      <c r="G94" s="27" t="s">
        <v>256</v>
      </c>
      <c r="H94" s="26" t="s">
        <v>437</v>
      </c>
    </row>
    <row r="95" ht="15.75" customHeight="1">
      <c r="A95" s="27" t="s">
        <v>394</v>
      </c>
      <c r="B95" s="26" t="s">
        <v>197</v>
      </c>
      <c r="C95" s="27" t="s">
        <v>395</v>
      </c>
      <c r="D95" s="26" t="s">
        <v>197</v>
      </c>
      <c r="E95" s="26" t="s">
        <v>198</v>
      </c>
      <c r="F95" s="27" t="s">
        <v>396</v>
      </c>
      <c r="G95" s="27" t="s">
        <v>200</v>
      </c>
      <c r="H95" s="26" t="s">
        <v>96</v>
      </c>
    </row>
    <row r="96" ht="15.75" customHeight="1">
      <c r="A96" s="27" t="s">
        <v>394</v>
      </c>
      <c r="B96" s="26" t="s">
        <v>438</v>
      </c>
      <c r="C96" s="27" t="s">
        <v>397</v>
      </c>
      <c r="D96" s="26" t="s">
        <v>197</v>
      </c>
      <c r="E96" s="26" t="s">
        <v>198</v>
      </c>
      <c r="F96" s="27" t="s">
        <v>402</v>
      </c>
      <c r="G96" s="27" t="s">
        <v>96</v>
      </c>
      <c r="H96" s="26" t="s">
        <v>96</v>
      </c>
    </row>
    <row r="97" ht="15.75" customHeight="1">
      <c r="A97" s="27" t="s">
        <v>394</v>
      </c>
      <c r="B97" s="26" t="s">
        <v>439</v>
      </c>
      <c r="C97" s="27" t="s">
        <v>397</v>
      </c>
      <c r="D97" s="26" t="s">
        <v>197</v>
      </c>
      <c r="E97" s="26" t="s">
        <v>198</v>
      </c>
      <c r="F97" s="27" t="s">
        <v>402</v>
      </c>
      <c r="G97" s="27" t="s">
        <v>96</v>
      </c>
      <c r="H97" s="26" t="s">
        <v>96</v>
      </c>
    </row>
    <row r="98" ht="15.75" customHeight="1">
      <c r="A98" s="27" t="s">
        <v>394</v>
      </c>
      <c r="B98" s="26" t="s">
        <v>330</v>
      </c>
      <c r="C98" s="27" t="s">
        <v>397</v>
      </c>
      <c r="D98" s="26" t="s">
        <v>197</v>
      </c>
      <c r="E98" s="26" t="s">
        <v>198</v>
      </c>
      <c r="F98" s="27" t="s">
        <v>396</v>
      </c>
      <c r="G98" s="27" t="s">
        <v>329</v>
      </c>
      <c r="H98" s="26" t="s">
        <v>440</v>
      </c>
    </row>
    <row r="99" ht="15.75" customHeight="1">
      <c r="A99" s="27" t="s">
        <v>394</v>
      </c>
      <c r="B99" s="26" t="s">
        <v>441</v>
      </c>
      <c r="C99" s="27" t="s">
        <v>397</v>
      </c>
      <c r="D99" s="26" t="s">
        <v>197</v>
      </c>
      <c r="E99" s="26" t="s">
        <v>198</v>
      </c>
      <c r="F99" s="27" t="s">
        <v>402</v>
      </c>
      <c r="G99" s="27" t="s">
        <v>96</v>
      </c>
      <c r="H99" s="26" t="s">
        <v>96</v>
      </c>
    </row>
    <row r="100" ht="15.75" customHeight="1">
      <c r="A100" s="27" t="s">
        <v>394</v>
      </c>
      <c r="B100" s="26" t="s">
        <v>212</v>
      </c>
      <c r="C100" s="27" t="s">
        <v>397</v>
      </c>
      <c r="D100" s="26" t="s">
        <v>197</v>
      </c>
      <c r="E100" s="26" t="s">
        <v>198</v>
      </c>
      <c r="F100" s="27" t="s">
        <v>396</v>
      </c>
      <c r="G100" s="27" t="s">
        <v>211</v>
      </c>
      <c r="H100" s="26" t="s">
        <v>96</v>
      </c>
    </row>
    <row r="101" ht="15.75" customHeight="1">
      <c r="A101" s="27" t="s">
        <v>394</v>
      </c>
      <c r="B101" s="26" t="s">
        <v>207</v>
      </c>
      <c r="C101" s="27" t="s">
        <v>397</v>
      </c>
      <c r="D101" s="26" t="s">
        <v>197</v>
      </c>
      <c r="E101" s="26" t="s">
        <v>198</v>
      </c>
      <c r="F101" s="27" t="s">
        <v>396</v>
      </c>
      <c r="G101" s="27" t="s">
        <v>206</v>
      </c>
      <c r="H101" s="26" t="s">
        <v>96</v>
      </c>
    </row>
    <row r="102" ht="15.75" customHeight="1">
      <c r="A102" s="27" t="s">
        <v>394</v>
      </c>
      <c r="B102" s="26" t="s">
        <v>224</v>
      </c>
      <c r="C102" s="27" t="s">
        <v>397</v>
      </c>
      <c r="D102" s="26" t="s">
        <v>197</v>
      </c>
      <c r="E102" s="26" t="s">
        <v>198</v>
      </c>
      <c r="F102" s="27" t="s">
        <v>396</v>
      </c>
      <c r="G102" s="27" t="s">
        <v>332</v>
      </c>
      <c r="H102" s="26" t="s">
        <v>442</v>
      </c>
    </row>
    <row r="103" ht="15.75" customHeight="1">
      <c r="A103" s="27" t="s">
        <v>394</v>
      </c>
      <c r="B103" s="26" t="s">
        <v>443</v>
      </c>
      <c r="C103" s="27" t="s">
        <v>397</v>
      </c>
      <c r="D103" s="26" t="s">
        <v>197</v>
      </c>
      <c r="E103" s="26" t="s">
        <v>198</v>
      </c>
      <c r="F103" s="27" t="s">
        <v>402</v>
      </c>
      <c r="G103" s="27" t="s">
        <v>96</v>
      </c>
      <c r="H103" s="26" t="s">
        <v>444</v>
      </c>
    </row>
    <row r="104" ht="15.75" customHeight="1">
      <c r="A104" s="27" t="s">
        <v>394</v>
      </c>
      <c r="B104" s="26" t="s">
        <v>445</v>
      </c>
      <c r="C104" s="27" t="s">
        <v>397</v>
      </c>
      <c r="D104" s="26" t="s">
        <v>197</v>
      </c>
      <c r="E104" s="26" t="s">
        <v>198</v>
      </c>
      <c r="F104" s="27" t="s">
        <v>402</v>
      </c>
      <c r="G104" s="27" t="s">
        <v>96</v>
      </c>
      <c r="H104" s="26" t="s">
        <v>96</v>
      </c>
    </row>
    <row r="105" ht="15.75" customHeight="1">
      <c r="A105" s="27" t="s">
        <v>394</v>
      </c>
      <c r="B105" s="26" t="s">
        <v>209</v>
      </c>
      <c r="C105" s="27" t="s">
        <v>397</v>
      </c>
      <c r="D105" s="26" t="s">
        <v>197</v>
      </c>
      <c r="E105" s="26" t="s">
        <v>198</v>
      </c>
      <c r="F105" s="27" t="s">
        <v>396</v>
      </c>
      <c r="G105" s="27" t="s">
        <v>208</v>
      </c>
      <c r="H105" s="26" t="s">
        <v>446</v>
      </c>
    </row>
    <row r="106" ht="15.75" customHeight="1">
      <c r="A106" s="27" t="s">
        <v>394</v>
      </c>
      <c r="B106" s="26" t="s">
        <v>447</v>
      </c>
      <c r="C106" s="27" t="s">
        <v>397</v>
      </c>
      <c r="D106" s="26" t="s">
        <v>197</v>
      </c>
      <c r="E106" s="26" t="s">
        <v>198</v>
      </c>
      <c r="F106" s="27" t="s">
        <v>402</v>
      </c>
      <c r="G106" s="27" t="s">
        <v>195</v>
      </c>
      <c r="H106" s="26" t="s">
        <v>446</v>
      </c>
    </row>
    <row r="107" ht="15.75" customHeight="1">
      <c r="A107" s="27" t="s">
        <v>394</v>
      </c>
      <c r="B107" s="26" t="s">
        <v>260</v>
      </c>
      <c r="C107" s="27" t="s">
        <v>395</v>
      </c>
      <c r="D107" s="26" t="s">
        <v>260</v>
      </c>
      <c r="E107" s="26" t="s">
        <v>198</v>
      </c>
      <c r="F107" s="27" t="s">
        <v>396</v>
      </c>
      <c r="G107" s="27" t="s">
        <v>96</v>
      </c>
      <c r="H107" s="26" t="s">
        <v>96</v>
      </c>
    </row>
    <row r="108" ht="15.75" customHeight="1">
      <c r="A108" s="27" t="s">
        <v>394</v>
      </c>
      <c r="B108" s="26" t="s">
        <v>259</v>
      </c>
      <c r="C108" s="27" t="s">
        <v>397</v>
      </c>
      <c r="D108" s="26" t="s">
        <v>260</v>
      </c>
      <c r="E108" s="26" t="s">
        <v>198</v>
      </c>
      <c r="F108" s="27" t="s">
        <v>396</v>
      </c>
      <c r="G108" s="27" t="s">
        <v>258</v>
      </c>
      <c r="H108" s="26" t="s">
        <v>448</v>
      </c>
    </row>
    <row r="109" ht="15.75" customHeight="1">
      <c r="A109" s="27" t="s">
        <v>394</v>
      </c>
      <c r="B109" s="26" t="s">
        <v>263</v>
      </c>
      <c r="C109" s="27" t="s">
        <v>397</v>
      </c>
      <c r="D109" s="26" t="s">
        <v>260</v>
      </c>
      <c r="E109" s="26" t="s">
        <v>198</v>
      </c>
      <c r="F109" s="27" t="s">
        <v>396</v>
      </c>
      <c r="G109" s="27" t="s">
        <v>262</v>
      </c>
      <c r="H109" s="26" t="s">
        <v>448</v>
      </c>
    </row>
    <row r="110" ht="15.75" customHeight="1">
      <c r="A110" s="27" t="s">
        <v>394</v>
      </c>
      <c r="B110" s="26" t="s">
        <v>269</v>
      </c>
      <c r="C110" s="27" t="s">
        <v>397</v>
      </c>
      <c r="D110" s="26" t="s">
        <v>260</v>
      </c>
      <c r="E110" s="26" t="s">
        <v>198</v>
      </c>
      <c r="F110" s="27" t="s">
        <v>396</v>
      </c>
      <c r="G110" s="27" t="s">
        <v>268</v>
      </c>
      <c r="H110" s="26" t="s">
        <v>448</v>
      </c>
    </row>
    <row r="111" ht="15.75" customHeight="1">
      <c r="A111" s="27" t="s">
        <v>394</v>
      </c>
      <c r="B111" s="26" t="s">
        <v>267</v>
      </c>
      <c r="C111" s="27" t="s">
        <v>397</v>
      </c>
      <c r="D111" s="26" t="s">
        <v>260</v>
      </c>
      <c r="E111" s="26" t="s">
        <v>198</v>
      </c>
      <c r="F111" s="27" t="s">
        <v>396</v>
      </c>
      <c r="G111" s="27" t="s">
        <v>266</v>
      </c>
      <c r="H111" s="26" t="s">
        <v>448</v>
      </c>
    </row>
    <row r="112" ht="15.75" customHeight="1">
      <c r="A112" s="27" t="s">
        <v>394</v>
      </c>
      <c r="B112" s="26" t="s">
        <v>265</v>
      </c>
      <c r="C112" s="27" t="s">
        <v>397</v>
      </c>
      <c r="D112" s="26" t="s">
        <v>260</v>
      </c>
      <c r="E112" s="26" t="s">
        <v>198</v>
      </c>
      <c r="F112" s="27" t="s">
        <v>396</v>
      </c>
      <c r="G112" s="27" t="s">
        <v>264</v>
      </c>
      <c r="H112" s="26" t="s">
        <v>96</v>
      </c>
    </row>
    <row r="113" ht="15.75" customHeight="1">
      <c r="A113" s="27" t="s">
        <v>394</v>
      </c>
      <c r="B113" s="26" t="s">
        <v>217</v>
      </c>
      <c r="C113" s="27" t="s">
        <v>395</v>
      </c>
      <c r="D113" s="26" t="s">
        <v>217</v>
      </c>
      <c r="E113" s="26" t="s">
        <v>198</v>
      </c>
      <c r="F113" s="27" t="s">
        <v>396</v>
      </c>
      <c r="G113" s="27" t="s">
        <v>272</v>
      </c>
      <c r="H113" s="26" t="s">
        <v>96</v>
      </c>
    </row>
    <row r="114" ht="15.75" customHeight="1">
      <c r="A114" s="27" t="s">
        <v>394</v>
      </c>
      <c r="B114" s="26" t="s">
        <v>216</v>
      </c>
      <c r="C114" s="27" t="s">
        <v>397</v>
      </c>
      <c r="D114" s="26" t="s">
        <v>217</v>
      </c>
      <c r="E114" s="26" t="s">
        <v>198</v>
      </c>
      <c r="F114" s="27" t="s">
        <v>396</v>
      </c>
      <c r="G114" s="27" t="s">
        <v>215</v>
      </c>
      <c r="H114" s="26" t="s">
        <v>96</v>
      </c>
    </row>
    <row r="115" ht="15.75" customHeight="1">
      <c r="A115" s="27" t="s">
        <v>394</v>
      </c>
      <c r="B115" s="26" t="s">
        <v>227</v>
      </c>
      <c r="C115" s="27" t="s">
        <v>397</v>
      </c>
      <c r="D115" s="26" t="s">
        <v>217</v>
      </c>
      <c r="E115" s="26" t="s">
        <v>198</v>
      </c>
      <c r="F115" s="27" t="s">
        <v>396</v>
      </c>
      <c r="G115" s="27" t="s">
        <v>226</v>
      </c>
      <c r="H115" s="26" t="s">
        <v>96</v>
      </c>
    </row>
    <row r="116" ht="15.75" customHeight="1">
      <c r="A116" s="27" t="s">
        <v>394</v>
      </c>
      <c r="B116" s="26" t="s">
        <v>271</v>
      </c>
      <c r="C116" s="27" t="s">
        <v>397</v>
      </c>
      <c r="D116" s="26" t="s">
        <v>217</v>
      </c>
      <c r="E116" s="26" t="s">
        <v>198</v>
      </c>
      <c r="F116" s="27" t="s">
        <v>396</v>
      </c>
      <c r="G116" s="27" t="s">
        <v>270</v>
      </c>
      <c r="H116" s="26" t="s">
        <v>448</v>
      </c>
    </row>
    <row r="117" ht="15.75" customHeight="1">
      <c r="A117" s="27" t="s">
        <v>394</v>
      </c>
      <c r="B117" s="26" t="s">
        <v>229</v>
      </c>
      <c r="C117" s="27" t="s">
        <v>397</v>
      </c>
      <c r="D117" s="26" t="s">
        <v>217</v>
      </c>
      <c r="E117" s="26" t="s">
        <v>198</v>
      </c>
      <c r="F117" s="27" t="s">
        <v>396</v>
      </c>
      <c r="G117" s="27" t="s">
        <v>228</v>
      </c>
      <c r="H117" s="26" t="s">
        <v>96</v>
      </c>
    </row>
    <row r="118" ht="15.75" customHeight="1">
      <c r="A118" s="27" t="s">
        <v>394</v>
      </c>
      <c r="B118" s="26" t="s">
        <v>274</v>
      </c>
      <c r="C118" s="27" t="s">
        <v>397</v>
      </c>
      <c r="D118" s="26" t="s">
        <v>217</v>
      </c>
      <c r="E118" s="26" t="s">
        <v>198</v>
      </c>
      <c r="F118" s="27" t="s">
        <v>396</v>
      </c>
      <c r="G118" s="27" t="s">
        <v>273</v>
      </c>
      <c r="H118" s="26" t="s">
        <v>448</v>
      </c>
    </row>
    <row r="119" ht="15.75" customHeight="1">
      <c r="A119" s="27" t="s">
        <v>394</v>
      </c>
      <c r="B119" s="26" t="s">
        <v>449</v>
      </c>
      <c r="C119" s="27" t="s">
        <v>397</v>
      </c>
      <c r="D119" s="26" t="s">
        <v>217</v>
      </c>
      <c r="E119" s="26" t="s">
        <v>198</v>
      </c>
      <c r="F119" s="27" t="s">
        <v>396</v>
      </c>
      <c r="G119" s="27" t="s">
        <v>275</v>
      </c>
      <c r="H119" s="26" t="s">
        <v>446</v>
      </c>
    </row>
    <row r="120" ht="15.75" customHeight="1">
      <c r="A120" s="27" t="s">
        <v>394</v>
      </c>
      <c r="B120" s="26" t="s">
        <v>115</v>
      </c>
      <c r="C120" s="27" t="s">
        <v>395</v>
      </c>
      <c r="D120" s="26" t="s">
        <v>115</v>
      </c>
      <c r="E120" s="26" t="s">
        <v>116</v>
      </c>
      <c r="F120" s="27" t="s">
        <v>396</v>
      </c>
      <c r="G120" s="27" t="s">
        <v>201</v>
      </c>
      <c r="H120" s="26" t="s">
        <v>96</v>
      </c>
    </row>
    <row r="121" ht="15.75" customHeight="1">
      <c r="A121" s="27" t="s">
        <v>394</v>
      </c>
      <c r="B121" s="26" t="s">
        <v>159</v>
      </c>
      <c r="C121" s="27" t="s">
        <v>397</v>
      </c>
      <c r="D121" s="26" t="s">
        <v>115</v>
      </c>
      <c r="E121" s="26" t="s">
        <v>116</v>
      </c>
      <c r="F121" s="27" t="s">
        <v>396</v>
      </c>
      <c r="G121" s="27" t="s">
        <v>158</v>
      </c>
      <c r="H121" s="26" t="s">
        <v>96</v>
      </c>
    </row>
    <row r="122" ht="15.75" customHeight="1">
      <c r="A122" s="27" t="s">
        <v>394</v>
      </c>
      <c r="B122" s="26" t="s">
        <v>114</v>
      </c>
      <c r="C122" s="27" t="s">
        <v>397</v>
      </c>
      <c r="D122" s="26" t="s">
        <v>115</v>
      </c>
      <c r="E122" s="26" t="s">
        <v>116</v>
      </c>
      <c r="F122" s="27" t="s">
        <v>396</v>
      </c>
      <c r="G122" s="27" t="s">
        <v>113</v>
      </c>
      <c r="H122" s="26" t="s">
        <v>96</v>
      </c>
    </row>
    <row r="123" ht="15.75" customHeight="1">
      <c r="A123" s="27" t="s">
        <v>394</v>
      </c>
      <c r="B123" s="26" t="s">
        <v>157</v>
      </c>
      <c r="C123" s="27" t="s">
        <v>397</v>
      </c>
      <c r="D123" s="26" t="s">
        <v>115</v>
      </c>
      <c r="E123" s="26" t="s">
        <v>116</v>
      </c>
      <c r="F123" s="27" t="s">
        <v>396</v>
      </c>
      <c r="G123" s="27" t="s">
        <v>156</v>
      </c>
      <c r="H123" s="26" t="s">
        <v>96</v>
      </c>
    </row>
    <row r="124" ht="15.75" customHeight="1">
      <c r="A124" s="27" t="s">
        <v>394</v>
      </c>
      <c r="B124" s="26" t="s">
        <v>161</v>
      </c>
      <c r="C124" s="27" t="s">
        <v>397</v>
      </c>
      <c r="D124" s="26" t="s">
        <v>115</v>
      </c>
      <c r="E124" s="26" t="s">
        <v>116</v>
      </c>
      <c r="F124" s="27" t="s">
        <v>396</v>
      </c>
      <c r="G124" s="27" t="s">
        <v>160</v>
      </c>
      <c r="H124" s="26" t="s">
        <v>96</v>
      </c>
    </row>
    <row r="125" ht="15.75" customHeight="1">
      <c r="A125" s="27" t="s">
        <v>394</v>
      </c>
      <c r="B125" s="26" t="s">
        <v>235</v>
      </c>
      <c r="C125" s="27" t="s">
        <v>397</v>
      </c>
      <c r="D125" s="26" t="s">
        <v>115</v>
      </c>
      <c r="E125" s="26" t="s">
        <v>116</v>
      </c>
      <c r="F125" s="27" t="s">
        <v>396</v>
      </c>
      <c r="G125" s="27" t="s">
        <v>234</v>
      </c>
      <c r="H125" s="26" t="s">
        <v>96</v>
      </c>
    </row>
    <row r="126" ht="15.75" customHeight="1">
      <c r="A126" s="27" t="s">
        <v>394</v>
      </c>
      <c r="B126" s="26" t="s">
        <v>279</v>
      </c>
      <c r="C126" s="27" t="s">
        <v>395</v>
      </c>
      <c r="D126" s="26" t="s">
        <v>279</v>
      </c>
      <c r="E126" s="26" t="s">
        <v>280</v>
      </c>
      <c r="F126" s="27" t="s">
        <v>396</v>
      </c>
      <c r="G126" s="27" t="s">
        <v>292</v>
      </c>
      <c r="H126" s="26" t="s">
        <v>450</v>
      </c>
    </row>
    <row r="127" ht="15.75" customHeight="1">
      <c r="A127" s="27" t="s">
        <v>394</v>
      </c>
      <c r="B127" s="26" t="s">
        <v>278</v>
      </c>
      <c r="C127" s="27" t="s">
        <v>397</v>
      </c>
      <c r="D127" s="26" t="s">
        <v>279</v>
      </c>
      <c r="E127" s="26" t="s">
        <v>280</v>
      </c>
      <c r="F127" s="27" t="s">
        <v>396</v>
      </c>
      <c r="G127" s="27" t="s">
        <v>277</v>
      </c>
      <c r="H127" s="26" t="s">
        <v>451</v>
      </c>
    </row>
    <row r="128" ht="15.75" customHeight="1">
      <c r="A128" s="27" t="s">
        <v>394</v>
      </c>
      <c r="B128" s="26" t="s">
        <v>283</v>
      </c>
      <c r="C128" s="27" t="s">
        <v>397</v>
      </c>
      <c r="D128" s="26" t="s">
        <v>279</v>
      </c>
      <c r="E128" s="26" t="s">
        <v>280</v>
      </c>
      <c r="F128" s="27" t="s">
        <v>396</v>
      </c>
      <c r="G128" s="27" t="s">
        <v>282</v>
      </c>
      <c r="H128" s="26" t="s">
        <v>451</v>
      </c>
    </row>
    <row r="129" ht="15.75" customHeight="1">
      <c r="A129" s="27" t="s">
        <v>394</v>
      </c>
      <c r="B129" s="26" t="s">
        <v>285</v>
      </c>
      <c r="C129" s="27" t="s">
        <v>397</v>
      </c>
      <c r="D129" s="26" t="s">
        <v>279</v>
      </c>
      <c r="E129" s="26" t="s">
        <v>280</v>
      </c>
      <c r="F129" s="27" t="s">
        <v>396</v>
      </c>
      <c r="G129" s="27" t="s">
        <v>284</v>
      </c>
      <c r="H129" s="26" t="s">
        <v>451</v>
      </c>
    </row>
    <row r="130" ht="15.75" customHeight="1">
      <c r="A130" s="27" t="s">
        <v>394</v>
      </c>
      <c r="B130" s="26" t="s">
        <v>452</v>
      </c>
      <c r="C130" s="27" t="s">
        <v>397</v>
      </c>
      <c r="D130" s="26" t="s">
        <v>279</v>
      </c>
      <c r="E130" s="26" t="s">
        <v>280</v>
      </c>
      <c r="F130" s="27" t="s">
        <v>402</v>
      </c>
      <c r="G130" s="27" t="s">
        <v>96</v>
      </c>
      <c r="H130" s="26" t="s">
        <v>96</v>
      </c>
    </row>
    <row r="131" ht="15.75" customHeight="1">
      <c r="A131" s="27" t="s">
        <v>394</v>
      </c>
      <c r="B131" s="26" t="s">
        <v>287</v>
      </c>
      <c r="C131" s="27" t="s">
        <v>397</v>
      </c>
      <c r="D131" s="26" t="s">
        <v>279</v>
      </c>
      <c r="E131" s="26" t="s">
        <v>280</v>
      </c>
      <c r="F131" s="27" t="s">
        <v>396</v>
      </c>
      <c r="G131" s="27" t="s">
        <v>286</v>
      </c>
      <c r="H131" s="26" t="s">
        <v>451</v>
      </c>
    </row>
    <row r="132" ht="15.75" customHeight="1">
      <c r="A132" s="27" t="s">
        <v>394</v>
      </c>
      <c r="B132" s="26" t="s">
        <v>289</v>
      </c>
      <c r="C132" s="27" t="s">
        <v>397</v>
      </c>
      <c r="D132" s="26" t="s">
        <v>279</v>
      </c>
      <c r="E132" s="26" t="s">
        <v>280</v>
      </c>
      <c r="F132" s="27" t="s">
        <v>396</v>
      </c>
      <c r="G132" s="27" t="s">
        <v>288</v>
      </c>
      <c r="H132" s="26" t="s">
        <v>451</v>
      </c>
    </row>
    <row r="133" ht="15.75" customHeight="1">
      <c r="A133" s="27" t="s">
        <v>394</v>
      </c>
      <c r="B133" s="26" t="s">
        <v>453</v>
      </c>
      <c r="C133" s="27" t="s">
        <v>397</v>
      </c>
      <c r="D133" s="26" t="s">
        <v>279</v>
      </c>
      <c r="E133" s="26" t="s">
        <v>280</v>
      </c>
      <c r="F133" s="27" t="s">
        <v>402</v>
      </c>
      <c r="G133" s="27" t="s">
        <v>96</v>
      </c>
      <c r="H133" s="26" t="s">
        <v>96</v>
      </c>
    </row>
    <row r="134" ht="15.75" customHeight="1">
      <c r="A134" s="27" t="s">
        <v>394</v>
      </c>
      <c r="B134" s="26" t="s">
        <v>454</v>
      </c>
      <c r="C134" s="27" t="s">
        <v>397</v>
      </c>
      <c r="D134" s="26" t="s">
        <v>279</v>
      </c>
      <c r="E134" s="26" t="s">
        <v>280</v>
      </c>
      <c r="F134" s="27" t="s">
        <v>402</v>
      </c>
      <c r="G134" s="27" t="s">
        <v>96</v>
      </c>
      <c r="H134" s="26" t="s">
        <v>96</v>
      </c>
    </row>
    <row r="135" ht="15.75" customHeight="1">
      <c r="A135" s="27" t="s">
        <v>394</v>
      </c>
      <c r="B135" s="26" t="s">
        <v>291</v>
      </c>
      <c r="C135" s="27" t="s">
        <v>397</v>
      </c>
      <c r="D135" s="26" t="s">
        <v>279</v>
      </c>
      <c r="E135" s="26" t="s">
        <v>280</v>
      </c>
      <c r="F135" s="27" t="s">
        <v>396</v>
      </c>
      <c r="G135" s="27" t="s">
        <v>290</v>
      </c>
      <c r="H135" s="26" t="s">
        <v>451</v>
      </c>
    </row>
    <row r="136" ht="15.75" customHeight="1">
      <c r="C136" s="32"/>
      <c r="D136" s="32"/>
      <c r="E136" s="32"/>
      <c r="F136" s="32"/>
    </row>
    <row r="137" ht="15.75" customHeight="1">
      <c r="C137" s="32"/>
      <c r="D137" s="32"/>
      <c r="E137" s="32"/>
      <c r="F137" s="32"/>
    </row>
    <row r="138" ht="15.75" customHeight="1">
      <c r="C138" s="32"/>
      <c r="D138" s="32"/>
      <c r="E138" s="32"/>
      <c r="F138" s="32"/>
    </row>
    <row r="139" ht="15.75" customHeight="1">
      <c r="C139" s="32"/>
      <c r="D139" s="32"/>
      <c r="E139" s="32"/>
      <c r="F139" s="32"/>
    </row>
    <row r="140" ht="15.75" customHeight="1">
      <c r="C140" s="32"/>
      <c r="D140" s="32"/>
      <c r="E140" s="32"/>
      <c r="F140" s="32"/>
    </row>
    <row r="141" ht="15.75" customHeight="1">
      <c r="C141" s="32"/>
      <c r="D141" s="32"/>
      <c r="E141" s="32"/>
      <c r="F141" s="32"/>
    </row>
    <row r="142" ht="15.75" customHeight="1">
      <c r="C142" s="32"/>
      <c r="D142" s="32"/>
      <c r="E142" s="32"/>
      <c r="F142" s="32"/>
    </row>
    <row r="143" ht="15.75" customHeight="1">
      <c r="C143" s="32"/>
      <c r="D143" s="32"/>
      <c r="E143" s="32"/>
      <c r="F143" s="32"/>
    </row>
    <row r="144" ht="15.75" customHeight="1">
      <c r="C144" s="32"/>
      <c r="D144" s="32"/>
      <c r="E144" s="32"/>
      <c r="F144" s="32"/>
    </row>
    <row r="145" ht="15.75" customHeight="1">
      <c r="C145" s="32"/>
      <c r="D145" s="32"/>
      <c r="E145" s="32"/>
      <c r="F145" s="32"/>
    </row>
    <row r="146" ht="15.75" customHeight="1">
      <c r="C146" s="32"/>
      <c r="D146" s="32"/>
      <c r="E146" s="32"/>
      <c r="F146" s="32"/>
    </row>
    <row r="147" ht="15.75" customHeight="1">
      <c r="C147" s="32"/>
      <c r="D147" s="32"/>
      <c r="E147" s="32"/>
      <c r="F147" s="32"/>
    </row>
    <row r="148" ht="15.75" customHeight="1">
      <c r="C148" s="32"/>
      <c r="D148" s="32"/>
      <c r="E148" s="32"/>
      <c r="F148" s="32"/>
    </row>
    <row r="149" ht="15.75" customHeight="1">
      <c r="C149" s="32"/>
      <c r="D149" s="32"/>
      <c r="E149" s="32"/>
      <c r="F149" s="32"/>
    </row>
    <row r="150" ht="15.75" customHeight="1">
      <c r="C150" s="32"/>
      <c r="D150" s="32"/>
      <c r="E150" s="32"/>
      <c r="F150" s="32"/>
    </row>
    <row r="151" ht="15.75" customHeight="1">
      <c r="C151" s="32"/>
      <c r="D151" s="32"/>
      <c r="E151" s="32"/>
      <c r="F151" s="32"/>
    </row>
    <row r="152" ht="15.75" customHeight="1">
      <c r="C152" s="32"/>
      <c r="D152" s="32"/>
      <c r="E152" s="32"/>
      <c r="F152" s="32"/>
    </row>
    <row r="153" ht="15.75" customHeight="1">
      <c r="C153" s="32"/>
      <c r="D153" s="32"/>
      <c r="E153" s="32"/>
      <c r="F153" s="32"/>
    </row>
    <row r="154" ht="15.75" customHeight="1">
      <c r="C154" s="32"/>
      <c r="D154" s="32"/>
      <c r="E154" s="32"/>
      <c r="F154" s="32"/>
    </row>
    <row r="155" ht="15.75" customHeight="1">
      <c r="C155" s="32"/>
      <c r="D155" s="32"/>
      <c r="E155" s="32"/>
      <c r="F155" s="32"/>
    </row>
    <row r="156" ht="15.75" customHeight="1">
      <c r="C156" s="32"/>
      <c r="D156" s="32"/>
      <c r="E156" s="32"/>
      <c r="F156" s="32"/>
    </row>
    <row r="157" ht="15.75" customHeight="1">
      <c r="C157" s="32"/>
      <c r="D157" s="32"/>
      <c r="E157" s="32"/>
      <c r="F157" s="32"/>
    </row>
    <row r="158" ht="15.75" customHeight="1">
      <c r="C158" s="32"/>
      <c r="D158" s="32"/>
      <c r="E158" s="32"/>
      <c r="F158" s="32"/>
    </row>
    <row r="159" ht="15.75" customHeight="1">
      <c r="C159" s="32"/>
      <c r="D159" s="32"/>
      <c r="E159" s="32"/>
      <c r="F159" s="32"/>
    </row>
    <row r="160" ht="15.75" customHeight="1">
      <c r="C160" s="32"/>
      <c r="D160" s="32"/>
      <c r="E160" s="32"/>
      <c r="F160" s="32"/>
    </row>
    <row r="161" ht="15.75" customHeight="1">
      <c r="C161" s="32"/>
      <c r="D161" s="32"/>
      <c r="E161" s="32"/>
      <c r="F161" s="32"/>
    </row>
    <row r="162" ht="15.75" customHeight="1">
      <c r="C162" s="32"/>
      <c r="D162" s="32"/>
      <c r="E162" s="32"/>
      <c r="F162" s="32"/>
    </row>
    <row r="163" ht="15.75" customHeight="1">
      <c r="C163" s="32"/>
      <c r="D163" s="32"/>
      <c r="E163" s="32"/>
      <c r="F163" s="32"/>
    </row>
    <row r="164" ht="15.75" customHeight="1">
      <c r="C164" s="32"/>
      <c r="D164" s="32"/>
      <c r="E164" s="32"/>
      <c r="F164" s="32"/>
    </row>
    <row r="165" ht="15.75" customHeight="1">
      <c r="C165" s="32"/>
      <c r="D165" s="32"/>
      <c r="E165" s="32"/>
      <c r="F165" s="32"/>
    </row>
    <row r="166" ht="15.75" customHeight="1">
      <c r="C166" s="32"/>
      <c r="D166" s="32"/>
      <c r="E166" s="32"/>
      <c r="F166" s="32"/>
    </row>
    <row r="167" ht="15.75" customHeight="1">
      <c r="C167" s="32"/>
      <c r="D167" s="32"/>
      <c r="E167" s="32"/>
      <c r="F167" s="32"/>
    </row>
    <row r="168" ht="15.75" customHeight="1">
      <c r="C168" s="32"/>
      <c r="D168" s="32"/>
      <c r="E168" s="32"/>
      <c r="F168" s="32"/>
    </row>
    <row r="169" ht="15.75" customHeight="1">
      <c r="C169" s="32"/>
      <c r="D169" s="32"/>
      <c r="E169" s="32"/>
      <c r="F169" s="32"/>
    </row>
    <row r="170" ht="15.75" customHeight="1">
      <c r="C170" s="32"/>
      <c r="D170" s="32"/>
      <c r="E170" s="32"/>
      <c r="F170" s="32"/>
    </row>
    <row r="171" ht="15.75" customHeight="1">
      <c r="C171" s="32"/>
      <c r="D171" s="32"/>
      <c r="E171" s="32"/>
      <c r="F171" s="32"/>
    </row>
    <row r="172" ht="15.75" customHeight="1">
      <c r="C172" s="32"/>
      <c r="D172" s="32"/>
      <c r="E172" s="32"/>
      <c r="F172" s="32"/>
    </row>
    <row r="173" ht="15.75" customHeight="1">
      <c r="C173" s="32"/>
      <c r="D173" s="32"/>
      <c r="E173" s="32"/>
      <c r="F173" s="32"/>
    </row>
    <row r="174" ht="15.75" customHeight="1">
      <c r="C174" s="32"/>
      <c r="D174" s="32"/>
      <c r="E174" s="32"/>
      <c r="F174" s="32"/>
    </row>
    <row r="175" ht="15.75" customHeight="1">
      <c r="C175" s="32"/>
      <c r="D175" s="32"/>
      <c r="E175" s="32"/>
      <c r="F175" s="32"/>
    </row>
    <row r="176" ht="15.75" customHeight="1">
      <c r="C176" s="32"/>
      <c r="D176" s="32"/>
      <c r="E176" s="32"/>
      <c r="F176" s="32"/>
    </row>
    <row r="177" ht="15.75" customHeight="1">
      <c r="C177" s="32"/>
      <c r="D177" s="32"/>
      <c r="E177" s="32"/>
      <c r="F177" s="32"/>
    </row>
    <row r="178" ht="15.75" customHeight="1">
      <c r="C178" s="32"/>
      <c r="D178" s="32"/>
      <c r="E178" s="32"/>
      <c r="F178" s="32"/>
    </row>
    <row r="179" ht="15.75" customHeight="1">
      <c r="C179" s="32"/>
      <c r="D179" s="32"/>
      <c r="E179" s="32"/>
      <c r="F179" s="32"/>
    </row>
    <row r="180" ht="15.75" customHeight="1">
      <c r="C180" s="32"/>
      <c r="D180" s="32"/>
      <c r="E180" s="32"/>
      <c r="F180" s="32"/>
    </row>
    <row r="181" ht="15.75" customHeight="1">
      <c r="C181" s="32"/>
      <c r="D181" s="32"/>
      <c r="E181" s="32"/>
      <c r="F181" s="32"/>
    </row>
    <row r="182" ht="15.75" customHeight="1">
      <c r="C182" s="32"/>
      <c r="D182" s="32"/>
      <c r="E182" s="32"/>
      <c r="F182" s="32"/>
    </row>
    <row r="183" ht="15.75" customHeight="1">
      <c r="C183" s="32"/>
      <c r="D183" s="32"/>
      <c r="E183" s="32"/>
      <c r="F183" s="32"/>
    </row>
    <row r="184" ht="15.75" customHeight="1">
      <c r="C184" s="32"/>
      <c r="D184" s="32"/>
      <c r="E184" s="32"/>
      <c r="F184" s="32"/>
    </row>
    <row r="185" ht="15.75" customHeight="1">
      <c r="C185" s="32"/>
      <c r="D185" s="32"/>
      <c r="E185" s="32"/>
      <c r="F185" s="32"/>
    </row>
    <row r="186" ht="15.75" customHeight="1">
      <c r="C186" s="32"/>
      <c r="D186" s="32"/>
      <c r="E186" s="32"/>
      <c r="F186" s="32"/>
    </row>
    <row r="187" ht="15.75" customHeight="1">
      <c r="C187" s="32"/>
      <c r="D187" s="32"/>
      <c r="E187" s="32"/>
      <c r="F187" s="32"/>
    </row>
    <row r="188" ht="15.75" customHeight="1">
      <c r="C188" s="32"/>
      <c r="D188" s="32"/>
      <c r="E188" s="32"/>
      <c r="F188" s="32"/>
    </row>
    <row r="189" ht="15.75" customHeight="1">
      <c r="C189" s="32"/>
      <c r="D189" s="32"/>
      <c r="E189" s="32"/>
      <c r="F189" s="32"/>
    </row>
    <row r="190" ht="15.75" customHeight="1">
      <c r="C190" s="32"/>
      <c r="D190" s="32"/>
      <c r="E190" s="32"/>
      <c r="F190" s="32"/>
    </row>
    <row r="191" ht="15.75" customHeight="1">
      <c r="C191" s="32"/>
      <c r="D191" s="32"/>
      <c r="E191" s="32"/>
      <c r="F191" s="32"/>
    </row>
    <row r="192" ht="15.75" customHeight="1">
      <c r="C192" s="32"/>
      <c r="D192" s="32"/>
      <c r="E192" s="32"/>
      <c r="F192" s="32"/>
    </row>
    <row r="193" ht="15.75" customHeight="1">
      <c r="C193" s="32"/>
      <c r="D193" s="32"/>
      <c r="E193" s="32"/>
      <c r="F193" s="32"/>
    </row>
    <row r="194" ht="15.75" customHeight="1">
      <c r="C194" s="32"/>
      <c r="D194" s="32"/>
      <c r="E194" s="32"/>
      <c r="F194" s="32"/>
    </row>
    <row r="195" ht="15.75" customHeight="1">
      <c r="C195" s="32"/>
      <c r="D195" s="32"/>
      <c r="E195" s="32"/>
      <c r="F195" s="32"/>
    </row>
    <row r="196" ht="15.75" customHeight="1">
      <c r="C196" s="32"/>
      <c r="D196" s="32"/>
      <c r="E196" s="32"/>
      <c r="F196" s="32"/>
    </row>
    <row r="197" ht="15.75" customHeight="1">
      <c r="C197" s="32"/>
      <c r="D197" s="32"/>
      <c r="E197" s="32"/>
      <c r="F197" s="32"/>
    </row>
    <row r="198" ht="15.75" customHeight="1">
      <c r="C198" s="32"/>
      <c r="D198" s="32"/>
      <c r="E198" s="32"/>
      <c r="F198" s="32"/>
    </row>
    <row r="199" ht="15.75" customHeight="1">
      <c r="C199" s="32"/>
      <c r="D199" s="32"/>
      <c r="E199" s="32"/>
      <c r="F199" s="32"/>
    </row>
    <row r="200" ht="15.75" customHeight="1">
      <c r="C200" s="32"/>
      <c r="D200" s="32"/>
      <c r="E200" s="32"/>
      <c r="F200" s="32"/>
    </row>
    <row r="201" ht="15.75" customHeight="1">
      <c r="C201" s="32"/>
      <c r="D201" s="32"/>
      <c r="E201" s="32"/>
      <c r="F201" s="32"/>
    </row>
    <row r="202" ht="15.75" customHeight="1">
      <c r="C202" s="32"/>
      <c r="D202" s="32"/>
      <c r="E202" s="32"/>
      <c r="F202" s="32"/>
    </row>
    <row r="203" ht="15.75" customHeight="1">
      <c r="C203" s="32"/>
      <c r="D203" s="32"/>
      <c r="E203" s="32"/>
      <c r="F203" s="32"/>
    </row>
    <row r="204" ht="15.75" customHeight="1">
      <c r="C204" s="32"/>
      <c r="D204" s="32"/>
      <c r="E204" s="32"/>
      <c r="F204" s="32"/>
    </row>
    <row r="205" ht="15.75" customHeight="1">
      <c r="C205" s="32"/>
      <c r="D205" s="32"/>
      <c r="E205" s="32"/>
      <c r="F205" s="32"/>
    </row>
    <row r="206" ht="15.75" customHeight="1">
      <c r="C206" s="32"/>
      <c r="D206" s="32"/>
      <c r="E206" s="32"/>
      <c r="F206" s="32"/>
    </row>
    <row r="207" ht="15.75" customHeight="1">
      <c r="C207" s="32"/>
      <c r="D207" s="32"/>
      <c r="E207" s="32"/>
      <c r="F207" s="32"/>
    </row>
    <row r="208" ht="15.75" customHeight="1">
      <c r="C208" s="32"/>
      <c r="D208" s="32"/>
      <c r="E208" s="32"/>
      <c r="F208" s="32"/>
    </row>
    <row r="209" ht="15.75" customHeight="1">
      <c r="C209" s="32"/>
      <c r="D209" s="32"/>
      <c r="E209" s="32"/>
      <c r="F209" s="32"/>
    </row>
    <row r="210" ht="15.75" customHeight="1">
      <c r="C210" s="32"/>
      <c r="D210" s="32"/>
      <c r="E210" s="32"/>
      <c r="F210" s="32"/>
    </row>
    <row r="211" ht="15.75" customHeight="1">
      <c r="C211" s="32"/>
      <c r="D211" s="32"/>
      <c r="E211" s="32"/>
      <c r="F211" s="32"/>
    </row>
    <row r="212" ht="15.75" customHeight="1">
      <c r="C212" s="32"/>
      <c r="D212" s="32"/>
      <c r="E212" s="32"/>
      <c r="F212" s="32"/>
    </row>
    <row r="213" ht="15.75" customHeight="1">
      <c r="C213" s="32"/>
      <c r="D213" s="32"/>
      <c r="E213" s="32"/>
      <c r="F213" s="32"/>
    </row>
    <row r="214" ht="15.75" customHeight="1">
      <c r="C214" s="32"/>
      <c r="D214" s="32"/>
      <c r="E214" s="32"/>
      <c r="F214" s="32"/>
    </row>
    <row r="215" ht="15.75" customHeight="1">
      <c r="C215" s="32"/>
      <c r="D215" s="32"/>
      <c r="E215" s="32"/>
      <c r="F215" s="32"/>
    </row>
    <row r="216" ht="15.75" customHeight="1">
      <c r="C216" s="32"/>
      <c r="D216" s="32"/>
      <c r="E216" s="32"/>
      <c r="F216" s="32"/>
    </row>
    <row r="217" ht="15.75" customHeight="1">
      <c r="C217" s="32"/>
      <c r="D217" s="32"/>
      <c r="E217" s="32"/>
      <c r="F217" s="32"/>
    </row>
    <row r="218" ht="15.75" customHeight="1">
      <c r="C218" s="32"/>
      <c r="D218" s="32"/>
      <c r="E218" s="32"/>
      <c r="F218" s="32"/>
    </row>
    <row r="219" ht="15.75" customHeight="1">
      <c r="C219" s="32"/>
      <c r="D219" s="32"/>
      <c r="E219" s="32"/>
      <c r="F219" s="32"/>
    </row>
    <row r="220" ht="15.75" customHeight="1">
      <c r="C220" s="32"/>
      <c r="D220" s="32"/>
      <c r="E220" s="32"/>
      <c r="F220" s="32"/>
    </row>
    <row r="221" ht="15.75" customHeight="1">
      <c r="C221" s="32"/>
      <c r="D221" s="32"/>
      <c r="E221" s="32"/>
      <c r="F221" s="32"/>
    </row>
    <row r="222" ht="15.75" customHeight="1">
      <c r="C222" s="32"/>
      <c r="D222" s="32"/>
      <c r="E222" s="32"/>
      <c r="F222" s="32"/>
    </row>
    <row r="223" ht="15.75" customHeight="1">
      <c r="C223" s="32"/>
      <c r="D223" s="32"/>
      <c r="E223" s="32"/>
      <c r="F223" s="32"/>
    </row>
    <row r="224" ht="15.75" customHeight="1">
      <c r="C224" s="32"/>
      <c r="D224" s="32"/>
      <c r="E224" s="32"/>
      <c r="F224" s="32"/>
    </row>
    <row r="225" ht="15.75" customHeight="1">
      <c r="C225" s="32"/>
      <c r="D225" s="32"/>
      <c r="E225" s="32"/>
      <c r="F225" s="32"/>
    </row>
    <row r="226" ht="15.75" customHeight="1">
      <c r="C226" s="32"/>
      <c r="D226" s="32"/>
      <c r="E226" s="32"/>
      <c r="F226" s="32"/>
    </row>
    <row r="227" ht="15.75" customHeight="1">
      <c r="C227" s="32"/>
      <c r="D227" s="32"/>
      <c r="E227" s="32"/>
      <c r="F227" s="32"/>
    </row>
    <row r="228" ht="15.75" customHeight="1">
      <c r="C228" s="32"/>
      <c r="D228" s="32"/>
      <c r="E228" s="32"/>
      <c r="F228" s="32"/>
    </row>
    <row r="229" ht="15.75" customHeight="1">
      <c r="C229" s="32"/>
      <c r="D229" s="32"/>
      <c r="E229" s="32"/>
      <c r="F229" s="32"/>
    </row>
    <row r="230" ht="15.75" customHeight="1">
      <c r="C230" s="32"/>
      <c r="D230" s="32"/>
      <c r="E230" s="32"/>
      <c r="F230" s="32"/>
    </row>
    <row r="231" ht="15.75" customHeight="1">
      <c r="C231" s="32"/>
      <c r="D231" s="32"/>
      <c r="E231" s="32"/>
      <c r="F231" s="32"/>
    </row>
    <row r="232" ht="15.75" customHeight="1">
      <c r="C232" s="32"/>
      <c r="D232" s="32"/>
      <c r="E232" s="32"/>
      <c r="F232" s="32"/>
    </row>
    <row r="233" ht="15.75" customHeight="1">
      <c r="C233" s="32"/>
      <c r="D233" s="32"/>
      <c r="E233" s="32"/>
      <c r="F233" s="32"/>
    </row>
    <row r="234" ht="15.75" customHeight="1">
      <c r="C234" s="32"/>
      <c r="D234" s="32"/>
      <c r="E234" s="32"/>
      <c r="F234" s="32"/>
    </row>
    <row r="235" ht="15.75" customHeight="1">
      <c r="C235" s="32"/>
      <c r="D235" s="32"/>
      <c r="E235" s="32"/>
      <c r="F235" s="32"/>
    </row>
    <row r="236" ht="15.75" customHeight="1">
      <c r="C236" s="32"/>
      <c r="D236" s="32"/>
      <c r="E236" s="32"/>
      <c r="F236" s="32"/>
    </row>
    <row r="237" ht="15.75" customHeight="1">
      <c r="C237" s="32"/>
      <c r="D237" s="32"/>
      <c r="E237" s="32"/>
      <c r="F237" s="32"/>
    </row>
    <row r="238" ht="15.75" customHeight="1">
      <c r="C238" s="32"/>
      <c r="D238" s="32"/>
      <c r="E238" s="32"/>
      <c r="F238" s="32"/>
    </row>
    <row r="239" ht="15.75" customHeight="1">
      <c r="C239" s="32"/>
      <c r="D239" s="32"/>
      <c r="E239" s="32"/>
      <c r="F239" s="32"/>
    </row>
    <row r="240" ht="15.75" customHeight="1">
      <c r="C240" s="32"/>
      <c r="D240" s="32"/>
      <c r="E240" s="32"/>
      <c r="F240" s="32"/>
    </row>
    <row r="241" ht="15.75" customHeight="1">
      <c r="C241" s="32"/>
      <c r="D241" s="32"/>
      <c r="E241" s="32"/>
      <c r="F241" s="32"/>
    </row>
    <row r="242" ht="15.75" customHeight="1">
      <c r="C242" s="32"/>
      <c r="D242" s="32"/>
      <c r="E242" s="32"/>
      <c r="F242" s="32"/>
    </row>
    <row r="243" ht="15.75" customHeight="1">
      <c r="C243" s="32"/>
      <c r="D243" s="32"/>
      <c r="E243" s="32"/>
      <c r="F243" s="32"/>
    </row>
    <row r="244" ht="15.75" customHeight="1">
      <c r="C244" s="32"/>
      <c r="D244" s="32"/>
      <c r="E244" s="32"/>
      <c r="F244" s="32"/>
    </row>
    <row r="245" ht="15.75" customHeight="1">
      <c r="C245" s="32"/>
      <c r="D245" s="32"/>
      <c r="E245" s="32"/>
      <c r="F245" s="32"/>
    </row>
    <row r="246" ht="15.75" customHeight="1">
      <c r="C246" s="32"/>
      <c r="D246" s="32"/>
      <c r="E246" s="32"/>
      <c r="F246" s="32"/>
    </row>
    <row r="247" ht="15.75" customHeight="1">
      <c r="C247" s="32"/>
      <c r="D247" s="32"/>
      <c r="E247" s="32"/>
      <c r="F247" s="32"/>
    </row>
    <row r="248" ht="15.75" customHeight="1">
      <c r="C248" s="32"/>
      <c r="D248" s="32"/>
      <c r="E248" s="32"/>
      <c r="F248" s="32"/>
    </row>
    <row r="249" ht="15.75" customHeight="1">
      <c r="C249" s="32"/>
      <c r="D249" s="32"/>
      <c r="E249" s="32"/>
      <c r="F249" s="32"/>
    </row>
    <row r="250" ht="15.75" customHeight="1">
      <c r="C250" s="32"/>
      <c r="D250" s="32"/>
      <c r="E250" s="32"/>
      <c r="F250" s="32"/>
    </row>
    <row r="251" ht="15.75" customHeight="1">
      <c r="C251" s="32"/>
      <c r="D251" s="32"/>
      <c r="E251" s="32"/>
      <c r="F251" s="32"/>
    </row>
    <row r="252" ht="15.75" customHeight="1">
      <c r="C252" s="32"/>
      <c r="D252" s="32"/>
      <c r="E252" s="32"/>
      <c r="F252" s="32"/>
    </row>
    <row r="253" ht="15.75" customHeight="1">
      <c r="C253" s="32"/>
      <c r="D253" s="32"/>
      <c r="E253" s="32"/>
      <c r="F253" s="32"/>
    </row>
    <row r="254" ht="15.75" customHeight="1">
      <c r="C254" s="32"/>
      <c r="D254" s="32"/>
      <c r="E254" s="32"/>
      <c r="F254" s="32"/>
    </row>
    <row r="255" ht="15.75" customHeight="1">
      <c r="C255" s="32"/>
      <c r="D255" s="32"/>
      <c r="E255" s="32"/>
      <c r="F255" s="32"/>
    </row>
    <row r="256" ht="15.75" customHeight="1">
      <c r="C256" s="32"/>
      <c r="D256" s="32"/>
      <c r="E256" s="32"/>
      <c r="F256" s="32"/>
    </row>
    <row r="257" ht="15.75" customHeight="1">
      <c r="C257" s="32"/>
      <c r="D257" s="32"/>
      <c r="E257" s="32"/>
      <c r="F257" s="32"/>
    </row>
    <row r="258" ht="15.75" customHeight="1">
      <c r="C258" s="32"/>
      <c r="D258" s="32"/>
      <c r="E258" s="32"/>
      <c r="F258" s="32"/>
    </row>
    <row r="259" ht="15.75" customHeight="1">
      <c r="C259" s="32"/>
      <c r="D259" s="32"/>
      <c r="E259" s="32"/>
      <c r="F259" s="32"/>
    </row>
    <row r="260" ht="15.75" customHeight="1">
      <c r="C260" s="32"/>
      <c r="D260" s="32"/>
      <c r="E260" s="32"/>
      <c r="F260" s="32"/>
    </row>
    <row r="261" ht="15.75" customHeight="1">
      <c r="C261" s="32"/>
      <c r="D261" s="32"/>
      <c r="E261" s="32"/>
      <c r="F261" s="32"/>
    </row>
    <row r="262" ht="15.75" customHeight="1">
      <c r="C262" s="32"/>
      <c r="D262" s="32"/>
      <c r="E262" s="32"/>
      <c r="F262" s="32"/>
    </row>
    <row r="263" ht="15.75" customHeight="1">
      <c r="C263" s="32"/>
      <c r="D263" s="32"/>
      <c r="E263" s="32"/>
      <c r="F263" s="32"/>
    </row>
    <row r="264" ht="15.75" customHeight="1">
      <c r="C264" s="32"/>
      <c r="D264" s="32"/>
      <c r="E264" s="32"/>
      <c r="F264" s="32"/>
    </row>
    <row r="265" ht="15.75" customHeight="1">
      <c r="C265" s="32"/>
      <c r="D265" s="32"/>
      <c r="E265" s="32"/>
      <c r="F265" s="32"/>
    </row>
    <row r="266" ht="15.75" customHeight="1">
      <c r="C266" s="32"/>
      <c r="D266" s="32"/>
      <c r="E266" s="32"/>
      <c r="F266" s="32"/>
    </row>
    <row r="267" ht="15.75" customHeight="1">
      <c r="C267" s="32"/>
      <c r="D267" s="32"/>
      <c r="E267" s="32"/>
      <c r="F267" s="32"/>
    </row>
    <row r="268" ht="15.75" customHeight="1">
      <c r="C268" s="32"/>
      <c r="D268" s="32"/>
      <c r="E268" s="32"/>
      <c r="F268" s="32"/>
    </row>
    <row r="269" ht="15.75" customHeight="1">
      <c r="C269" s="32"/>
      <c r="D269" s="32"/>
      <c r="E269" s="32"/>
      <c r="F269" s="32"/>
    </row>
    <row r="270" ht="15.75" customHeight="1">
      <c r="C270" s="32"/>
      <c r="D270" s="32"/>
      <c r="E270" s="32"/>
      <c r="F270" s="32"/>
    </row>
    <row r="271" ht="15.75" customHeight="1">
      <c r="C271" s="32"/>
      <c r="D271" s="32"/>
      <c r="E271" s="32"/>
      <c r="F271" s="32"/>
    </row>
    <row r="272" ht="15.75" customHeight="1">
      <c r="C272" s="32"/>
      <c r="D272" s="32"/>
      <c r="E272" s="32"/>
      <c r="F272" s="32"/>
    </row>
    <row r="273" ht="15.75" customHeight="1">
      <c r="C273" s="32"/>
      <c r="D273" s="32"/>
      <c r="E273" s="32"/>
      <c r="F273" s="32"/>
    </row>
    <row r="274" ht="15.75" customHeight="1">
      <c r="C274" s="32"/>
      <c r="D274" s="32"/>
      <c r="E274" s="32"/>
      <c r="F274" s="32"/>
    </row>
    <row r="275" ht="15.75" customHeight="1">
      <c r="C275" s="32"/>
      <c r="D275" s="32"/>
      <c r="E275" s="32"/>
      <c r="F275" s="32"/>
    </row>
    <row r="276" ht="15.75" customHeight="1">
      <c r="C276" s="32"/>
      <c r="D276" s="32"/>
      <c r="E276" s="32"/>
      <c r="F276" s="32"/>
    </row>
    <row r="277" ht="15.75" customHeight="1">
      <c r="C277" s="32"/>
      <c r="D277" s="32"/>
      <c r="E277" s="32"/>
      <c r="F277" s="32"/>
    </row>
    <row r="278" ht="15.75" customHeight="1">
      <c r="C278" s="32"/>
      <c r="D278" s="32"/>
      <c r="E278" s="32"/>
      <c r="F278" s="32"/>
    </row>
    <row r="279" ht="15.75" customHeight="1">
      <c r="C279" s="32"/>
      <c r="D279" s="32"/>
      <c r="E279" s="32"/>
      <c r="F279" s="32"/>
    </row>
    <row r="280" ht="15.75" customHeight="1">
      <c r="C280" s="32"/>
      <c r="D280" s="32"/>
      <c r="E280" s="32"/>
      <c r="F280" s="32"/>
    </row>
    <row r="281" ht="15.75" customHeight="1">
      <c r="C281" s="32"/>
      <c r="D281" s="32"/>
      <c r="E281" s="32"/>
      <c r="F281" s="32"/>
    </row>
    <row r="282" ht="15.75" customHeight="1">
      <c r="C282" s="32"/>
      <c r="D282" s="32"/>
      <c r="E282" s="32"/>
      <c r="F282" s="32"/>
    </row>
    <row r="283" ht="15.75" customHeight="1">
      <c r="C283" s="32"/>
      <c r="D283" s="32"/>
      <c r="E283" s="32"/>
      <c r="F283" s="32"/>
    </row>
    <row r="284" ht="15.75" customHeight="1">
      <c r="C284" s="32"/>
      <c r="D284" s="32"/>
      <c r="E284" s="32"/>
      <c r="F284" s="32"/>
    </row>
    <row r="285" ht="15.75" customHeight="1">
      <c r="C285" s="32"/>
      <c r="D285" s="32"/>
      <c r="E285" s="32"/>
      <c r="F285" s="32"/>
    </row>
    <row r="286" ht="15.75" customHeight="1">
      <c r="C286" s="32"/>
      <c r="D286" s="32"/>
      <c r="E286" s="32"/>
      <c r="F286" s="32"/>
    </row>
    <row r="287" ht="15.75" customHeight="1">
      <c r="C287" s="32"/>
      <c r="D287" s="32"/>
      <c r="E287" s="32"/>
      <c r="F287" s="32"/>
    </row>
    <row r="288" ht="15.75" customHeight="1">
      <c r="C288" s="32"/>
      <c r="D288" s="32"/>
      <c r="E288" s="32"/>
      <c r="F288" s="32"/>
    </row>
    <row r="289" ht="15.75" customHeight="1">
      <c r="C289" s="32"/>
      <c r="D289" s="32"/>
      <c r="E289" s="32"/>
      <c r="F289" s="32"/>
    </row>
    <row r="290" ht="15.75" customHeight="1">
      <c r="C290" s="32"/>
      <c r="D290" s="32"/>
      <c r="E290" s="32"/>
      <c r="F290" s="32"/>
    </row>
    <row r="291" ht="15.75" customHeight="1">
      <c r="C291" s="32"/>
      <c r="D291" s="32"/>
      <c r="E291" s="32"/>
      <c r="F291" s="32"/>
    </row>
    <row r="292" ht="15.75" customHeight="1">
      <c r="C292" s="32"/>
      <c r="D292" s="32"/>
      <c r="E292" s="32"/>
      <c r="F292" s="32"/>
    </row>
    <row r="293" ht="15.75" customHeight="1">
      <c r="C293" s="32"/>
      <c r="D293" s="32"/>
      <c r="E293" s="32"/>
      <c r="F293" s="32"/>
    </row>
    <row r="294" ht="15.75" customHeight="1">
      <c r="C294" s="32"/>
      <c r="D294" s="32"/>
      <c r="E294" s="32"/>
      <c r="F294" s="32"/>
    </row>
    <row r="295" ht="15.75" customHeight="1">
      <c r="C295" s="32"/>
      <c r="D295" s="32"/>
      <c r="E295" s="32"/>
      <c r="F295" s="32"/>
    </row>
    <row r="296" ht="15.75" customHeight="1">
      <c r="C296" s="32"/>
      <c r="D296" s="32"/>
      <c r="E296" s="32"/>
      <c r="F296" s="32"/>
    </row>
    <row r="297" ht="15.75" customHeight="1">
      <c r="C297" s="32"/>
      <c r="D297" s="32"/>
      <c r="E297" s="32"/>
      <c r="F297" s="32"/>
    </row>
    <row r="298" ht="15.75" customHeight="1">
      <c r="C298" s="32"/>
      <c r="D298" s="32"/>
      <c r="E298" s="32"/>
      <c r="F298" s="32"/>
    </row>
    <row r="299" ht="15.75" customHeight="1">
      <c r="C299" s="32"/>
      <c r="D299" s="32"/>
      <c r="E299" s="32"/>
      <c r="F299" s="32"/>
    </row>
    <row r="300" ht="15.75" customHeight="1">
      <c r="C300" s="32"/>
      <c r="D300" s="32"/>
      <c r="E300" s="32"/>
      <c r="F300" s="32"/>
    </row>
    <row r="301" ht="15.75" customHeight="1">
      <c r="C301" s="32"/>
      <c r="D301" s="32"/>
      <c r="E301" s="32"/>
      <c r="F301" s="32"/>
    </row>
    <row r="302" ht="15.75" customHeight="1">
      <c r="C302" s="32"/>
      <c r="D302" s="32"/>
      <c r="E302" s="32"/>
      <c r="F302" s="32"/>
    </row>
    <row r="303" ht="15.75" customHeight="1">
      <c r="C303" s="32"/>
      <c r="D303" s="32"/>
      <c r="E303" s="32"/>
      <c r="F303" s="32"/>
    </row>
    <row r="304" ht="15.75" customHeight="1">
      <c r="C304" s="32"/>
      <c r="D304" s="32"/>
      <c r="E304" s="32"/>
      <c r="F304" s="32"/>
    </row>
    <row r="305" ht="15.75" customHeight="1">
      <c r="C305" s="32"/>
      <c r="D305" s="32"/>
      <c r="E305" s="32"/>
      <c r="F305" s="32"/>
    </row>
    <row r="306" ht="15.75" customHeight="1">
      <c r="C306" s="32"/>
      <c r="D306" s="32"/>
      <c r="E306" s="32"/>
      <c r="F306" s="32"/>
    </row>
    <row r="307" ht="15.75" customHeight="1">
      <c r="C307" s="32"/>
      <c r="D307" s="32"/>
      <c r="E307" s="32"/>
      <c r="F307" s="32"/>
    </row>
    <row r="308" ht="15.75" customHeight="1">
      <c r="C308" s="32"/>
      <c r="D308" s="32"/>
      <c r="E308" s="32"/>
      <c r="F308" s="32"/>
    </row>
    <row r="309" ht="15.75" customHeight="1">
      <c r="C309" s="32"/>
      <c r="D309" s="32"/>
      <c r="E309" s="32"/>
      <c r="F309" s="32"/>
    </row>
    <row r="310" ht="15.75" customHeight="1">
      <c r="C310" s="32"/>
      <c r="D310" s="32"/>
      <c r="E310" s="32"/>
      <c r="F310" s="32"/>
    </row>
    <row r="311" ht="15.75" customHeight="1">
      <c r="C311" s="32"/>
      <c r="D311" s="32"/>
      <c r="E311" s="32"/>
      <c r="F311" s="32"/>
    </row>
    <row r="312" ht="15.75" customHeight="1">
      <c r="C312" s="32"/>
      <c r="D312" s="32"/>
      <c r="E312" s="32"/>
      <c r="F312" s="32"/>
    </row>
    <row r="313" ht="15.75" customHeight="1">
      <c r="C313" s="32"/>
      <c r="D313" s="32"/>
      <c r="E313" s="32"/>
      <c r="F313" s="32"/>
    </row>
    <row r="314" ht="15.75" customHeight="1">
      <c r="C314" s="32"/>
      <c r="D314" s="32"/>
      <c r="E314" s="32"/>
      <c r="F314" s="32"/>
    </row>
    <row r="315" ht="15.75" customHeight="1">
      <c r="C315" s="32"/>
      <c r="D315" s="32"/>
      <c r="E315" s="32"/>
      <c r="F315" s="32"/>
    </row>
    <row r="316" ht="15.75" customHeight="1">
      <c r="C316" s="32"/>
      <c r="D316" s="32"/>
      <c r="E316" s="32"/>
      <c r="F316" s="32"/>
    </row>
    <row r="317" ht="15.75" customHeight="1">
      <c r="C317" s="32"/>
      <c r="D317" s="32"/>
      <c r="E317" s="32"/>
      <c r="F317" s="32"/>
    </row>
    <row r="318" ht="15.75" customHeight="1">
      <c r="C318" s="32"/>
      <c r="D318" s="32"/>
      <c r="E318" s="32"/>
      <c r="F318" s="32"/>
    </row>
    <row r="319" ht="15.75" customHeight="1">
      <c r="C319" s="32"/>
      <c r="D319" s="32"/>
      <c r="E319" s="32"/>
      <c r="F319" s="32"/>
    </row>
    <row r="320" ht="15.75" customHeight="1">
      <c r="C320" s="32"/>
      <c r="D320" s="32"/>
      <c r="E320" s="32"/>
      <c r="F320" s="32"/>
    </row>
    <row r="321" ht="15.75" customHeight="1">
      <c r="C321" s="32"/>
      <c r="D321" s="32"/>
      <c r="E321" s="32"/>
      <c r="F321" s="32"/>
    </row>
    <row r="322" ht="15.75" customHeight="1">
      <c r="C322" s="32"/>
      <c r="D322" s="32"/>
      <c r="E322" s="32"/>
      <c r="F322" s="32"/>
    </row>
    <row r="323" ht="15.75" customHeight="1">
      <c r="C323" s="32"/>
      <c r="D323" s="32"/>
      <c r="E323" s="32"/>
      <c r="F323" s="32"/>
    </row>
    <row r="324" ht="15.75" customHeight="1">
      <c r="C324" s="32"/>
      <c r="D324" s="32"/>
      <c r="E324" s="32"/>
      <c r="F324" s="32"/>
    </row>
    <row r="325" ht="15.75" customHeight="1">
      <c r="C325" s="32"/>
      <c r="D325" s="32"/>
      <c r="E325" s="32"/>
      <c r="F325" s="32"/>
    </row>
    <row r="326" ht="15.75" customHeight="1">
      <c r="C326" s="32"/>
      <c r="D326" s="32"/>
      <c r="E326" s="32"/>
      <c r="F326" s="32"/>
    </row>
    <row r="327" ht="15.75" customHeight="1">
      <c r="C327" s="32"/>
      <c r="D327" s="32"/>
      <c r="E327" s="32"/>
      <c r="F327" s="32"/>
    </row>
    <row r="328" ht="15.75" customHeight="1">
      <c r="C328" s="32"/>
      <c r="D328" s="32"/>
      <c r="E328" s="32"/>
      <c r="F328" s="32"/>
    </row>
    <row r="329" ht="15.75" customHeight="1">
      <c r="C329" s="32"/>
      <c r="D329" s="32"/>
      <c r="E329" s="32"/>
      <c r="F329" s="32"/>
    </row>
    <row r="330" ht="15.75" customHeight="1">
      <c r="C330" s="32"/>
      <c r="D330" s="32"/>
      <c r="E330" s="32"/>
      <c r="F330" s="32"/>
    </row>
    <row r="331" ht="15.75" customHeight="1">
      <c r="C331" s="32"/>
      <c r="D331" s="32"/>
      <c r="E331" s="32"/>
      <c r="F331" s="32"/>
    </row>
    <row r="332" ht="15.75" customHeight="1">
      <c r="C332" s="32"/>
      <c r="D332" s="32"/>
      <c r="E332" s="32"/>
      <c r="F332" s="32"/>
    </row>
    <row r="333" ht="15.75" customHeight="1">
      <c r="C333" s="32"/>
      <c r="D333" s="32"/>
      <c r="E333" s="32"/>
      <c r="F333" s="32"/>
    </row>
    <row r="334" ht="15.75" customHeight="1">
      <c r="C334" s="32"/>
      <c r="D334" s="32"/>
      <c r="E334" s="32"/>
      <c r="F334" s="32"/>
    </row>
    <row r="335" ht="15.75" customHeight="1">
      <c r="C335" s="32"/>
      <c r="D335" s="32"/>
      <c r="E335" s="32"/>
      <c r="F335" s="32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:H3"/>
  </mergeCells>
  <dataValidations>
    <dataValidation type="list" allowBlank="1" showErrorMessage="1" sqref="E5:E335">
      <formula1>val_Regional</formula1>
    </dataValidation>
    <dataValidation type="list" allowBlank="1" showErrorMessage="1" sqref="F5:F335">
      <formula1>val_EstadoPersona</formula1>
    </dataValidation>
    <dataValidation type="list" allowBlank="1" showErrorMessage="1" sqref="D5:D335">
      <formula1>val_Supervisor</formula1>
    </dataValidation>
    <dataValidation type="list" allowBlank="1" showErrorMessage="1" sqref="C5:C335">
      <formula1>val_Rol</formula1>
    </dataValidation>
  </dataValidations>
  <printOptions/>
  <pageMargins bottom="0.6" footer="0.0" header="0.0" left="0.5" right="0.5" top="0.6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3.0"/>
    <col customWidth="1" min="3" max="3" width="18.0"/>
    <col customWidth="1" min="4" max="4" width="13.0"/>
    <col customWidth="1" min="5" max="5" width="14.0"/>
    <col customWidth="1" min="6" max="6" width="34.0"/>
    <col customWidth="1" min="7" max="7" width="30.0"/>
    <col customWidth="1" min="8" max="8" width="13.0"/>
    <col customWidth="1" min="9" max="9" width="38.0"/>
    <col customWidth="1" min="10" max="26" width="8.86"/>
  </cols>
  <sheetData>
    <row r="1" ht="30.0" customHeight="1">
      <c r="A1" s="1" t="s">
        <v>455</v>
      </c>
      <c r="B1" s="2"/>
      <c r="C1" s="2"/>
      <c r="D1" s="2"/>
      <c r="E1" s="2"/>
      <c r="F1" s="2"/>
      <c r="G1" s="2"/>
      <c r="H1" s="2"/>
      <c r="I1" s="3"/>
    </row>
    <row r="2">
      <c r="A2" s="4" t="s">
        <v>23</v>
      </c>
      <c r="B2" s="5"/>
      <c r="C2" s="5"/>
      <c r="D2" s="5"/>
      <c r="E2" s="5"/>
      <c r="F2" s="5"/>
      <c r="G2" s="5"/>
      <c r="H2" s="5"/>
      <c r="I2" s="6"/>
    </row>
    <row r="3" ht="45.75" customHeight="1">
      <c r="A3" s="7" t="s">
        <v>456</v>
      </c>
      <c r="B3" s="5"/>
      <c r="C3" s="5"/>
      <c r="D3" s="5"/>
      <c r="E3" s="5"/>
      <c r="F3" s="5"/>
      <c r="G3" s="5"/>
      <c r="H3" s="5"/>
      <c r="I3" s="6"/>
    </row>
    <row r="4">
      <c r="A4" s="25" t="s">
        <v>42</v>
      </c>
      <c r="B4" s="25" t="s">
        <v>43</v>
      </c>
      <c r="C4" s="25" t="s">
        <v>44</v>
      </c>
      <c r="D4" s="25" t="s">
        <v>45</v>
      </c>
      <c r="E4" s="25" t="s">
        <v>58</v>
      </c>
      <c r="F4" s="25" t="s">
        <v>46</v>
      </c>
      <c r="G4" s="25" t="s">
        <v>47</v>
      </c>
      <c r="H4" s="25" t="s">
        <v>38</v>
      </c>
      <c r="I4" s="25" t="s">
        <v>63</v>
      </c>
    </row>
    <row r="5">
      <c r="A5" s="26" t="s">
        <v>457</v>
      </c>
      <c r="B5" s="28">
        <v>46169.0</v>
      </c>
      <c r="C5" s="27" t="s">
        <v>458</v>
      </c>
      <c r="D5" s="27" t="s">
        <v>256</v>
      </c>
      <c r="E5" s="27" t="s">
        <v>394</v>
      </c>
      <c r="F5" s="26" t="s">
        <v>69</v>
      </c>
      <c r="G5" s="26" t="s">
        <v>69</v>
      </c>
      <c r="H5" s="26" t="s">
        <v>198</v>
      </c>
      <c r="I5" s="26" t="s">
        <v>459</v>
      </c>
    </row>
    <row r="6">
      <c r="A6" s="26" t="s">
        <v>460</v>
      </c>
      <c r="B6" s="28">
        <v>46169.0</v>
      </c>
      <c r="C6" s="27" t="s">
        <v>458</v>
      </c>
      <c r="D6" s="27" t="s">
        <v>258</v>
      </c>
      <c r="E6" s="27" t="s">
        <v>394</v>
      </c>
      <c r="F6" s="26" t="s">
        <v>29</v>
      </c>
      <c r="G6" s="26" t="s">
        <v>260</v>
      </c>
      <c r="H6" s="26" t="s">
        <v>198</v>
      </c>
      <c r="I6" s="26" t="s">
        <v>96</v>
      </c>
    </row>
    <row r="7">
      <c r="A7" s="26" t="s">
        <v>461</v>
      </c>
      <c r="B7" s="28">
        <v>46169.0</v>
      </c>
      <c r="C7" s="27" t="s">
        <v>458</v>
      </c>
      <c r="D7" s="27" t="s">
        <v>262</v>
      </c>
      <c r="E7" s="27" t="s">
        <v>394</v>
      </c>
      <c r="F7" s="26" t="s">
        <v>29</v>
      </c>
      <c r="G7" s="26" t="s">
        <v>260</v>
      </c>
      <c r="H7" s="26" t="s">
        <v>198</v>
      </c>
      <c r="I7" s="26" t="s">
        <v>96</v>
      </c>
    </row>
    <row r="8">
      <c r="A8" s="26" t="s">
        <v>462</v>
      </c>
      <c r="B8" s="28">
        <v>46169.0</v>
      </c>
      <c r="C8" s="27" t="s">
        <v>458</v>
      </c>
      <c r="D8" s="27" t="s">
        <v>264</v>
      </c>
      <c r="E8" s="27" t="s">
        <v>394</v>
      </c>
      <c r="F8" s="26" t="s">
        <v>29</v>
      </c>
      <c r="G8" s="26" t="s">
        <v>260</v>
      </c>
      <c r="H8" s="26" t="s">
        <v>198</v>
      </c>
      <c r="I8" s="26" t="s">
        <v>96</v>
      </c>
    </row>
    <row r="9">
      <c r="A9" s="26" t="s">
        <v>463</v>
      </c>
      <c r="B9" s="28">
        <v>46169.0</v>
      </c>
      <c r="C9" s="27" t="s">
        <v>458</v>
      </c>
      <c r="D9" s="27" t="s">
        <v>266</v>
      </c>
      <c r="E9" s="27" t="s">
        <v>394</v>
      </c>
      <c r="F9" s="26" t="s">
        <v>29</v>
      </c>
      <c r="G9" s="26" t="s">
        <v>260</v>
      </c>
      <c r="H9" s="26" t="s">
        <v>198</v>
      </c>
      <c r="I9" s="26" t="s">
        <v>96</v>
      </c>
    </row>
    <row r="10">
      <c r="A10" s="26" t="s">
        <v>464</v>
      </c>
      <c r="B10" s="28">
        <v>46169.0</v>
      </c>
      <c r="C10" s="27" t="s">
        <v>458</v>
      </c>
      <c r="D10" s="27" t="s">
        <v>268</v>
      </c>
      <c r="E10" s="27" t="s">
        <v>394</v>
      </c>
      <c r="F10" s="26" t="s">
        <v>29</v>
      </c>
      <c r="G10" s="26" t="s">
        <v>260</v>
      </c>
      <c r="H10" s="26" t="s">
        <v>198</v>
      </c>
      <c r="I10" s="26" t="s">
        <v>96</v>
      </c>
    </row>
    <row r="11">
      <c r="A11" s="26" t="s">
        <v>465</v>
      </c>
      <c r="B11" s="28">
        <v>46174.0</v>
      </c>
      <c r="C11" s="27" t="s">
        <v>458</v>
      </c>
      <c r="D11" s="27" t="s">
        <v>270</v>
      </c>
      <c r="E11" s="27" t="s">
        <v>394</v>
      </c>
      <c r="F11" s="26" t="s">
        <v>29</v>
      </c>
      <c r="G11" s="26" t="s">
        <v>217</v>
      </c>
      <c r="H11" s="26" t="s">
        <v>198</v>
      </c>
      <c r="I11" s="26" t="s">
        <v>96</v>
      </c>
    </row>
    <row r="12">
      <c r="A12" s="26" t="s">
        <v>466</v>
      </c>
      <c r="B12" s="28">
        <v>46174.0</v>
      </c>
      <c r="C12" s="27" t="s">
        <v>458</v>
      </c>
      <c r="D12" s="27" t="s">
        <v>272</v>
      </c>
      <c r="E12" s="27" t="s">
        <v>394</v>
      </c>
      <c r="F12" s="26" t="s">
        <v>29</v>
      </c>
      <c r="G12" s="26" t="s">
        <v>217</v>
      </c>
      <c r="H12" s="26" t="s">
        <v>198</v>
      </c>
      <c r="I12" s="26" t="s">
        <v>96</v>
      </c>
    </row>
    <row r="13">
      <c r="A13" s="26" t="s">
        <v>467</v>
      </c>
      <c r="B13" s="28">
        <v>46174.0</v>
      </c>
      <c r="C13" s="27" t="s">
        <v>458</v>
      </c>
      <c r="D13" s="27" t="s">
        <v>273</v>
      </c>
      <c r="E13" s="27" t="s">
        <v>394</v>
      </c>
      <c r="F13" s="26" t="s">
        <v>29</v>
      </c>
      <c r="G13" s="26" t="s">
        <v>217</v>
      </c>
      <c r="H13" s="26" t="s">
        <v>198</v>
      </c>
      <c r="I13" s="26" t="s">
        <v>96</v>
      </c>
    </row>
    <row r="14">
      <c r="A14" s="26" t="s">
        <v>468</v>
      </c>
      <c r="B14" s="28">
        <v>46174.0</v>
      </c>
      <c r="C14" s="27" t="s">
        <v>458</v>
      </c>
      <c r="D14" s="27" t="s">
        <v>275</v>
      </c>
      <c r="E14" s="27" t="s">
        <v>394</v>
      </c>
      <c r="F14" s="26" t="s">
        <v>29</v>
      </c>
      <c r="G14" s="26" t="s">
        <v>217</v>
      </c>
      <c r="H14" s="26" t="s">
        <v>198</v>
      </c>
      <c r="I14" s="26" t="s">
        <v>96</v>
      </c>
    </row>
    <row r="15">
      <c r="A15" s="26" t="s">
        <v>469</v>
      </c>
      <c r="B15" s="28">
        <v>46175.0</v>
      </c>
      <c r="C15" s="27" t="s">
        <v>458</v>
      </c>
      <c r="D15" s="27" t="s">
        <v>277</v>
      </c>
      <c r="E15" s="27" t="s">
        <v>394</v>
      </c>
      <c r="F15" s="26" t="s">
        <v>29</v>
      </c>
      <c r="G15" s="26" t="s">
        <v>279</v>
      </c>
      <c r="H15" s="26" t="s">
        <v>280</v>
      </c>
      <c r="I15" s="26" t="s">
        <v>96</v>
      </c>
    </row>
    <row r="16">
      <c r="A16" s="26" t="s">
        <v>470</v>
      </c>
      <c r="B16" s="28">
        <v>46175.0</v>
      </c>
      <c r="C16" s="27" t="s">
        <v>458</v>
      </c>
      <c r="D16" s="27" t="s">
        <v>282</v>
      </c>
      <c r="E16" s="27" t="s">
        <v>394</v>
      </c>
      <c r="F16" s="26" t="s">
        <v>29</v>
      </c>
      <c r="G16" s="26" t="s">
        <v>279</v>
      </c>
      <c r="H16" s="26" t="s">
        <v>280</v>
      </c>
      <c r="I16" s="26" t="s">
        <v>96</v>
      </c>
    </row>
    <row r="17">
      <c r="A17" s="26" t="s">
        <v>471</v>
      </c>
      <c r="B17" s="28">
        <v>46175.0</v>
      </c>
      <c r="C17" s="27" t="s">
        <v>458</v>
      </c>
      <c r="D17" s="27" t="s">
        <v>284</v>
      </c>
      <c r="E17" s="27" t="s">
        <v>394</v>
      </c>
      <c r="F17" s="26" t="s">
        <v>29</v>
      </c>
      <c r="G17" s="26" t="s">
        <v>279</v>
      </c>
      <c r="H17" s="26" t="s">
        <v>280</v>
      </c>
      <c r="I17" s="26" t="s">
        <v>96</v>
      </c>
    </row>
    <row r="18">
      <c r="A18" s="26" t="s">
        <v>472</v>
      </c>
      <c r="B18" s="28">
        <v>46175.0</v>
      </c>
      <c r="C18" s="27" t="s">
        <v>458</v>
      </c>
      <c r="D18" s="27" t="s">
        <v>286</v>
      </c>
      <c r="E18" s="27" t="s">
        <v>394</v>
      </c>
      <c r="F18" s="26" t="s">
        <v>29</v>
      </c>
      <c r="G18" s="26" t="s">
        <v>279</v>
      </c>
      <c r="H18" s="26" t="s">
        <v>280</v>
      </c>
      <c r="I18" s="26" t="s">
        <v>96</v>
      </c>
    </row>
    <row r="19">
      <c r="A19" s="26" t="s">
        <v>473</v>
      </c>
      <c r="B19" s="28">
        <v>46175.0</v>
      </c>
      <c r="C19" s="27" t="s">
        <v>458</v>
      </c>
      <c r="D19" s="27" t="s">
        <v>288</v>
      </c>
      <c r="E19" s="27" t="s">
        <v>394</v>
      </c>
      <c r="F19" s="26" t="s">
        <v>29</v>
      </c>
      <c r="G19" s="26" t="s">
        <v>279</v>
      </c>
      <c r="H19" s="26" t="s">
        <v>280</v>
      </c>
      <c r="I19" s="26" t="s">
        <v>96</v>
      </c>
    </row>
    <row r="20">
      <c r="A20" s="26" t="s">
        <v>474</v>
      </c>
      <c r="B20" s="28">
        <v>46175.0</v>
      </c>
      <c r="C20" s="27" t="s">
        <v>458</v>
      </c>
      <c r="D20" s="27" t="s">
        <v>290</v>
      </c>
      <c r="E20" s="27" t="s">
        <v>394</v>
      </c>
      <c r="F20" s="26" t="s">
        <v>29</v>
      </c>
      <c r="G20" s="26" t="s">
        <v>279</v>
      </c>
      <c r="H20" s="26" t="s">
        <v>280</v>
      </c>
      <c r="I20" s="26" t="s">
        <v>96</v>
      </c>
    </row>
    <row r="21" ht="15.75" customHeight="1">
      <c r="A21" s="26" t="s">
        <v>475</v>
      </c>
      <c r="B21" s="28">
        <v>46175.0</v>
      </c>
      <c r="C21" s="27" t="s">
        <v>458</v>
      </c>
      <c r="D21" s="27" t="s">
        <v>292</v>
      </c>
      <c r="E21" s="27" t="s">
        <v>394</v>
      </c>
      <c r="F21" s="26" t="s">
        <v>29</v>
      </c>
      <c r="G21" s="26" t="s">
        <v>279</v>
      </c>
      <c r="H21" s="26" t="s">
        <v>280</v>
      </c>
      <c r="I21" s="26" t="s">
        <v>96</v>
      </c>
    </row>
    <row r="22" ht="15.75" customHeight="1">
      <c r="A22" s="26" t="s">
        <v>476</v>
      </c>
      <c r="B22" s="28">
        <v>46176.0</v>
      </c>
      <c r="C22" s="27" t="s">
        <v>458</v>
      </c>
      <c r="D22" s="27" t="s">
        <v>293</v>
      </c>
      <c r="E22" s="27" t="s">
        <v>394</v>
      </c>
      <c r="F22" s="26" t="s">
        <v>29</v>
      </c>
      <c r="G22" s="26" t="s">
        <v>294</v>
      </c>
      <c r="H22" s="26" t="s">
        <v>123</v>
      </c>
      <c r="I22" s="26" t="s">
        <v>96</v>
      </c>
    </row>
    <row r="23" ht="15.75" customHeight="1">
      <c r="A23" s="26" t="s">
        <v>477</v>
      </c>
      <c r="B23" s="28">
        <v>46176.0</v>
      </c>
      <c r="C23" s="27" t="s">
        <v>458</v>
      </c>
      <c r="D23" s="27" t="s">
        <v>295</v>
      </c>
      <c r="E23" s="27" t="s">
        <v>394</v>
      </c>
      <c r="F23" s="26" t="s">
        <v>29</v>
      </c>
      <c r="G23" s="26" t="s">
        <v>294</v>
      </c>
      <c r="H23" s="26" t="s">
        <v>123</v>
      </c>
      <c r="I23" s="26" t="s">
        <v>96</v>
      </c>
    </row>
    <row r="24" ht="15.75" customHeight="1">
      <c r="A24" s="26" t="s">
        <v>478</v>
      </c>
      <c r="B24" s="28">
        <v>46176.0</v>
      </c>
      <c r="C24" s="27" t="s">
        <v>458</v>
      </c>
      <c r="D24" s="27" t="s">
        <v>296</v>
      </c>
      <c r="E24" s="27" t="s">
        <v>394</v>
      </c>
      <c r="F24" s="26" t="s">
        <v>29</v>
      </c>
      <c r="G24" s="26" t="s">
        <v>294</v>
      </c>
      <c r="H24" s="26" t="s">
        <v>123</v>
      </c>
      <c r="I24" s="26" t="s">
        <v>96</v>
      </c>
    </row>
    <row r="25" ht="15.75" customHeight="1">
      <c r="A25" s="26" t="s">
        <v>479</v>
      </c>
      <c r="B25" s="28">
        <v>46176.0</v>
      </c>
      <c r="C25" s="27" t="s">
        <v>458</v>
      </c>
      <c r="D25" s="27" t="s">
        <v>297</v>
      </c>
      <c r="E25" s="27" t="s">
        <v>394</v>
      </c>
      <c r="F25" s="26" t="s">
        <v>29</v>
      </c>
      <c r="G25" s="26" t="s">
        <v>294</v>
      </c>
      <c r="H25" s="26" t="s">
        <v>123</v>
      </c>
      <c r="I25" s="26" t="s">
        <v>96</v>
      </c>
    </row>
    <row r="26" ht="15.75" customHeight="1">
      <c r="A26" s="26" t="s">
        <v>480</v>
      </c>
      <c r="B26" s="28">
        <v>46176.0</v>
      </c>
      <c r="C26" s="27" t="s">
        <v>458</v>
      </c>
      <c r="D26" s="27" t="s">
        <v>298</v>
      </c>
      <c r="E26" s="27" t="s">
        <v>394</v>
      </c>
      <c r="F26" s="26" t="s">
        <v>29</v>
      </c>
      <c r="G26" s="26" t="s">
        <v>294</v>
      </c>
      <c r="H26" s="26" t="s">
        <v>123</v>
      </c>
      <c r="I26" s="26" t="s">
        <v>96</v>
      </c>
    </row>
    <row r="27" ht="15.75" customHeight="1">
      <c r="A27" s="26" t="s">
        <v>481</v>
      </c>
      <c r="B27" s="28">
        <v>46176.0</v>
      </c>
      <c r="C27" s="27" t="s">
        <v>458</v>
      </c>
      <c r="D27" s="27" t="s">
        <v>299</v>
      </c>
      <c r="E27" s="27" t="s">
        <v>394</v>
      </c>
      <c r="F27" s="26" t="s">
        <v>29</v>
      </c>
      <c r="G27" s="26" t="s">
        <v>294</v>
      </c>
      <c r="H27" s="26" t="s">
        <v>123</v>
      </c>
      <c r="I27" s="26" t="s">
        <v>96</v>
      </c>
    </row>
    <row r="28" ht="15.75" customHeight="1">
      <c r="A28" s="26" t="s">
        <v>482</v>
      </c>
      <c r="B28" s="28">
        <v>46176.0</v>
      </c>
      <c r="C28" s="27" t="s">
        <v>458</v>
      </c>
      <c r="D28" s="27" t="s">
        <v>300</v>
      </c>
      <c r="E28" s="27" t="s">
        <v>394</v>
      </c>
      <c r="F28" s="26" t="s">
        <v>29</v>
      </c>
      <c r="G28" s="26" t="s">
        <v>294</v>
      </c>
      <c r="H28" s="26" t="s">
        <v>123</v>
      </c>
      <c r="I28" s="26" t="s">
        <v>96</v>
      </c>
    </row>
    <row r="29" ht="15.75" customHeight="1">
      <c r="A29" s="26" t="s">
        <v>483</v>
      </c>
      <c r="B29" s="28">
        <v>46176.0</v>
      </c>
      <c r="C29" s="27" t="s">
        <v>458</v>
      </c>
      <c r="D29" s="27" t="s">
        <v>301</v>
      </c>
      <c r="E29" s="27" t="s">
        <v>394</v>
      </c>
      <c r="F29" s="26" t="s">
        <v>29</v>
      </c>
      <c r="G29" s="26" t="s">
        <v>294</v>
      </c>
      <c r="H29" s="26" t="s">
        <v>123</v>
      </c>
      <c r="I29" s="26" t="s">
        <v>96</v>
      </c>
    </row>
    <row r="30" ht="15.75" customHeight="1">
      <c r="A30" s="26" t="s">
        <v>484</v>
      </c>
      <c r="B30" s="28">
        <v>46176.0</v>
      </c>
      <c r="C30" s="27" t="s">
        <v>458</v>
      </c>
      <c r="D30" s="27" t="s">
        <v>302</v>
      </c>
      <c r="E30" s="27" t="s">
        <v>394</v>
      </c>
      <c r="F30" s="26" t="s">
        <v>29</v>
      </c>
      <c r="G30" s="26" t="s">
        <v>294</v>
      </c>
      <c r="H30" s="26" t="s">
        <v>123</v>
      </c>
      <c r="I30" s="26" t="s">
        <v>96</v>
      </c>
    </row>
    <row r="31" ht="15.75" customHeight="1">
      <c r="A31" s="26" t="s">
        <v>485</v>
      </c>
      <c r="B31" s="28">
        <v>46176.0</v>
      </c>
      <c r="C31" s="27" t="s">
        <v>458</v>
      </c>
      <c r="D31" s="27" t="s">
        <v>303</v>
      </c>
      <c r="E31" s="27" t="s">
        <v>394</v>
      </c>
      <c r="F31" s="26" t="s">
        <v>29</v>
      </c>
      <c r="G31" s="26" t="s">
        <v>294</v>
      </c>
      <c r="H31" s="26" t="s">
        <v>123</v>
      </c>
      <c r="I31" s="26" t="s">
        <v>96</v>
      </c>
    </row>
    <row r="32" ht="15.75" customHeight="1">
      <c r="A32" s="26" t="s">
        <v>486</v>
      </c>
      <c r="B32" s="28">
        <v>46176.0</v>
      </c>
      <c r="C32" s="27" t="s">
        <v>458</v>
      </c>
      <c r="D32" s="27" t="s">
        <v>304</v>
      </c>
      <c r="E32" s="27" t="s">
        <v>394</v>
      </c>
      <c r="F32" s="26" t="s">
        <v>29</v>
      </c>
      <c r="G32" s="26" t="s">
        <v>305</v>
      </c>
      <c r="H32" s="26" t="s">
        <v>95</v>
      </c>
      <c r="I32" s="26" t="s">
        <v>96</v>
      </c>
    </row>
    <row r="33" ht="15.75" customHeight="1">
      <c r="A33" s="26" t="s">
        <v>487</v>
      </c>
      <c r="B33" s="28">
        <v>46176.0</v>
      </c>
      <c r="C33" s="27" t="s">
        <v>458</v>
      </c>
      <c r="D33" s="27" t="s">
        <v>306</v>
      </c>
      <c r="E33" s="27" t="s">
        <v>394</v>
      </c>
      <c r="F33" s="26" t="s">
        <v>29</v>
      </c>
      <c r="G33" s="26" t="s">
        <v>305</v>
      </c>
      <c r="H33" s="26" t="s">
        <v>95</v>
      </c>
      <c r="I33" s="26" t="s">
        <v>96</v>
      </c>
    </row>
    <row r="34" ht="15.75" customHeight="1">
      <c r="A34" s="26" t="s">
        <v>488</v>
      </c>
      <c r="B34" s="28">
        <v>46176.0</v>
      </c>
      <c r="C34" s="27" t="s">
        <v>458</v>
      </c>
      <c r="D34" s="27" t="s">
        <v>307</v>
      </c>
      <c r="E34" s="27" t="s">
        <v>394</v>
      </c>
      <c r="F34" s="26" t="s">
        <v>29</v>
      </c>
      <c r="G34" s="26" t="s">
        <v>305</v>
      </c>
      <c r="H34" s="26" t="s">
        <v>95</v>
      </c>
      <c r="I34" s="26" t="s">
        <v>96</v>
      </c>
    </row>
    <row r="35" ht="15.75" customHeight="1">
      <c r="A35" s="26" t="s">
        <v>489</v>
      </c>
      <c r="B35" s="28">
        <v>46176.0</v>
      </c>
      <c r="C35" s="27" t="s">
        <v>458</v>
      </c>
      <c r="D35" s="27" t="s">
        <v>308</v>
      </c>
      <c r="E35" s="27" t="s">
        <v>394</v>
      </c>
      <c r="F35" s="26" t="s">
        <v>29</v>
      </c>
      <c r="G35" s="26" t="s">
        <v>305</v>
      </c>
      <c r="H35" s="26" t="s">
        <v>95</v>
      </c>
      <c r="I35" s="26" t="s">
        <v>96</v>
      </c>
    </row>
    <row r="36" ht="15.75" customHeight="1">
      <c r="A36" s="26" t="s">
        <v>490</v>
      </c>
      <c r="B36" s="28">
        <v>46176.0</v>
      </c>
      <c r="C36" s="27" t="s">
        <v>458</v>
      </c>
      <c r="D36" s="27" t="s">
        <v>309</v>
      </c>
      <c r="E36" s="27" t="s">
        <v>394</v>
      </c>
      <c r="F36" s="26" t="s">
        <v>29</v>
      </c>
      <c r="G36" s="26" t="s">
        <v>305</v>
      </c>
      <c r="H36" s="26" t="s">
        <v>95</v>
      </c>
      <c r="I36" s="26" t="s">
        <v>96</v>
      </c>
    </row>
    <row r="37" ht="15.75" customHeight="1">
      <c r="A37" s="26" t="s">
        <v>491</v>
      </c>
      <c r="B37" s="28">
        <v>46176.0</v>
      </c>
      <c r="C37" s="27" t="s">
        <v>458</v>
      </c>
      <c r="D37" s="27" t="s">
        <v>310</v>
      </c>
      <c r="E37" s="27" t="s">
        <v>394</v>
      </c>
      <c r="F37" s="26" t="s">
        <v>29</v>
      </c>
      <c r="G37" s="26" t="s">
        <v>305</v>
      </c>
      <c r="H37" s="26" t="s">
        <v>95</v>
      </c>
      <c r="I37" s="26" t="s">
        <v>96</v>
      </c>
    </row>
    <row r="38" ht="15.75" customHeight="1">
      <c r="A38" s="26" t="s">
        <v>492</v>
      </c>
      <c r="B38" s="28">
        <v>46176.0</v>
      </c>
      <c r="C38" s="27" t="s">
        <v>458</v>
      </c>
      <c r="D38" s="27" t="s">
        <v>311</v>
      </c>
      <c r="E38" s="27" t="s">
        <v>394</v>
      </c>
      <c r="F38" s="26" t="s">
        <v>29</v>
      </c>
      <c r="G38" s="26" t="s">
        <v>305</v>
      </c>
      <c r="H38" s="26" t="s">
        <v>95</v>
      </c>
      <c r="I38" s="26" t="s">
        <v>96</v>
      </c>
    </row>
    <row r="39" ht="15.75" customHeight="1">
      <c r="A39" s="26" t="s">
        <v>493</v>
      </c>
      <c r="B39" s="28">
        <v>46176.0</v>
      </c>
      <c r="C39" s="27" t="s">
        <v>458</v>
      </c>
      <c r="D39" s="27" t="s">
        <v>312</v>
      </c>
      <c r="E39" s="27" t="s">
        <v>394</v>
      </c>
      <c r="F39" s="26" t="s">
        <v>29</v>
      </c>
      <c r="G39" s="26" t="s">
        <v>305</v>
      </c>
      <c r="H39" s="26" t="s">
        <v>95</v>
      </c>
      <c r="I39" s="26" t="s">
        <v>96</v>
      </c>
    </row>
    <row r="40" ht="15.75" customHeight="1">
      <c r="A40" s="26" t="s">
        <v>494</v>
      </c>
      <c r="B40" s="28">
        <v>46176.0</v>
      </c>
      <c r="C40" s="27" t="s">
        <v>458</v>
      </c>
      <c r="D40" s="27" t="s">
        <v>313</v>
      </c>
      <c r="E40" s="27" t="s">
        <v>394</v>
      </c>
      <c r="F40" s="26" t="s">
        <v>29</v>
      </c>
      <c r="G40" s="26" t="s">
        <v>305</v>
      </c>
      <c r="H40" s="26" t="s">
        <v>95</v>
      </c>
      <c r="I40" s="26" t="s">
        <v>96</v>
      </c>
    </row>
    <row r="41" ht="15.75" customHeight="1">
      <c r="A41" s="26" t="s">
        <v>495</v>
      </c>
      <c r="B41" s="28">
        <v>46176.0</v>
      </c>
      <c r="C41" s="27" t="s">
        <v>458</v>
      </c>
      <c r="D41" s="27" t="s">
        <v>314</v>
      </c>
      <c r="E41" s="27" t="s">
        <v>394</v>
      </c>
      <c r="F41" s="26" t="s">
        <v>29</v>
      </c>
      <c r="G41" s="26" t="s">
        <v>305</v>
      </c>
      <c r="H41" s="26" t="s">
        <v>95</v>
      </c>
      <c r="I41" s="26" t="s">
        <v>96</v>
      </c>
    </row>
    <row r="42" ht="15.75" customHeight="1">
      <c r="A42" s="26" t="s">
        <v>496</v>
      </c>
      <c r="B42" s="28">
        <v>46176.0</v>
      </c>
      <c r="C42" s="27" t="s">
        <v>458</v>
      </c>
      <c r="D42" s="27" t="s">
        <v>315</v>
      </c>
      <c r="E42" s="27" t="s">
        <v>394</v>
      </c>
      <c r="F42" s="26" t="s">
        <v>316</v>
      </c>
      <c r="G42" s="26" t="s">
        <v>122</v>
      </c>
      <c r="H42" s="26" t="s">
        <v>123</v>
      </c>
      <c r="I42" s="26" t="s">
        <v>96</v>
      </c>
    </row>
    <row r="43" ht="15.75" customHeight="1">
      <c r="A43" s="26" t="s">
        <v>497</v>
      </c>
      <c r="B43" s="28">
        <v>46176.0</v>
      </c>
      <c r="C43" s="27" t="s">
        <v>458</v>
      </c>
      <c r="D43" s="27" t="s">
        <v>317</v>
      </c>
      <c r="E43" s="27" t="s">
        <v>394</v>
      </c>
      <c r="F43" s="26" t="s">
        <v>122</v>
      </c>
      <c r="G43" s="26" t="s">
        <v>122</v>
      </c>
      <c r="H43" s="26" t="s">
        <v>123</v>
      </c>
      <c r="I43" s="26" t="s">
        <v>96</v>
      </c>
    </row>
    <row r="44" ht="15.75" customHeight="1">
      <c r="A44" s="26" t="s">
        <v>498</v>
      </c>
      <c r="B44" s="28">
        <v>46176.0</v>
      </c>
      <c r="C44" s="27" t="s">
        <v>458</v>
      </c>
      <c r="D44" s="27" t="s">
        <v>318</v>
      </c>
      <c r="E44" s="27" t="s">
        <v>394</v>
      </c>
      <c r="F44" s="26" t="s">
        <v>319</v>
      </c>
      <c r="G44" s="26" t="s">
        <v>128</v>
      </c>
      <c r="H44" s="26" t="s">
        <v>123</v>
      </c>
      <c r="I44" s="26" t="s">
        <v>96</v>
      </c>
    </row>
    <row r="45" ht="15.75" customHeight="1">
      <c r="A45" s="26" t="s">
        <v>499</v>
      </c>
      <c r="B45" s="28">
        <v>46176.0</v>
      </c>
      <c r="C45" s="27" t="s">
        <v>458</v>
      </c>
      <c r="D45" s="27" t="s">
        <v>320</v>
      </c>
      <c r="E45" s="27" t="s">
        <v>394</v>
      </c>
      <c r="F45" s="26" t="s">
        <v>153</v>
      </c>
      <c r="G45" s="26" t="s">
        <v>153</v>
      </c>
      <c r="H45" s="26" t="s">
        <v>123</v>
      </c>
      <c r="I45" s="26" t="s">
        <v>96</v>
      </c>
    </row>
    <row r="46" ht="15.75" customHeight="1">
      <c r="A46" s="26" t="s">
        <v>500</v>
      </c>
      <c r="B46" s="28">
        <v>46176.0</v>
      </c>
      <c r="C46" s="27" t="s">
        <v>458</v>
      </c>
      <c r="D46" s="27" t="s">
        <v>321</v>
      </c>
      <c r="E46" s="27" t="s">
        <v>394</v>
      </c>
      <c r="F46" s="26" t="s">
        <v>322</v>
      </c>
      <c r="G46" s="26" t="s">
        <v>153</v>
      </c>
      <c r="H46" s="26" t="s">
        <v>123</v>
      </c>
      <c r="I46" s="26" t="s">
        <v>96</v>
      </c>
    </row>
    <row r="47" ht="15.75" customHeight="1">
      <c r="A47" s="26" t="s">
        <v>501</v>
      </c>
      <c r="B47" s="28">
        <v>46176.0</v>
      </c>
      <c r="C47" s="27" t="s">
        <v>458</v>
      </c>
      <c r="D47" s="27" t="s">
        <v>323</v>
      </c>
      <c r="E47" s="27" t="s">
        <v>394</v>
      </c>
      <c r="F47" s="26" t="s">
        <v>324</v>
      </c>
      <c r="G47" s="26" t="s">
        <v>153</v>
      </c>
      <c r="H47" s="26" t="s">
        <v>123</v>
      </c>
      <c r="I47" s="26" t="s">
        <v>96</v>
      </c>
    </row>
    <row r="48" ht="15.75" customHeight="1">
      <c r="A48" s="26" t="s">
        <v>502</v>
      </c>
      <c r="B48" s="28">
        <v>46176.0</v>
      </c>
      <c r="C48" s="27" t="s">
        <v>458</v>
      </c>
      <c r="D48" s="27" t="s">
        <v>325</v>
      </c>
      <c r="E48" s="27" t="s">
        <v>394</v>
      </c>
      <c r="F48" s="26" t="s">
        <v>326</v>
      </c>
      <c r="G48" s="26" t="s">
        <v>135</v>
      </c>
      <c r="H48" s="26" t="s">
        <v>136</v>
      </c>
      <c r="I48" s="26" t="s">
        <v>96</v>
      </c>
    </row>
    <row r="49" ht="15.75" customHeight="1">
      <c r="A49" s="26" t="s">
        <v>503</v>
      </c>
      <c r="B49" s="28">
        <v>46176.0</v>
      </c>
      <c r="C49" s="27" t="s">
        <v>458</v>
      </c>
      <c r="D49" s="27" t="s">
        <v>327</v>
      </c>
      <c r="E49" s="27" t="s">
        <v>394</v>
      </c>
      <c r="F49" s="26" t="s">
        <v>328</v>
      </c>
      <c r="G49" s="26" t="s">
        <v>135</v>
      </c>
      <c r="H49" s="26" t="s">
        <v>136</v>
      </c>
      <c r="I49" s="26" t="s">
        <v>96</v>
      </c>
    </row>
    <row r="50" ht="15.75" customHeight="1">
      <c r="A50" s="26" t="s">
        <v>504</v>
      </c>
      <c r="B50" s="28">
        <v>46176.0</v>
      </c>
      <c r="C50" s="30" t="s">
        <v>505</v>
      </c>
      <c r="D50" s="27" t="s">
        <v>329</v>
      </c>
      <c r="E50" s="27" t="s">
        <v>394</v>
      </c>
      <c r="F50" s="26" t="s">
        <v>330</v>
      </c>
      <c r="G50" s="26" t="s">
        <v>197</v>
      </c>
      <c r="H50" s="26" t="s">
        <v>198</v>
      </c>
      <c r="I50" s="26" t="s">
        <v>506</v>
      </c>
    </row>
    <row r="51" ht="15.75" customHeight="1">
      <c r="A51" s="26" t="s">
        <v>507</v>
      </c>
      <c r="B51" s="28">
        <v>46176.0</v>
      </c>
      <c r="C51" s="30" t="s">
        <v>505</v>
      </c>
      <c r="D51" s="27" t="s">
        <v>332</v>
      </c>
      <c r="E51" s="27" t="s">
        <v>394</v>
      </c>
      <c r="F51" s="26" t="s">
        <v>224</v>
      </c>
      <c r="G51" s="26" t="s">
        <v>197</v>
      </c>
      <c r="H51" s="26" t="s">
        <v>198</v>
      </c>
      <c r="I51" s="26" t="s">
        <v>508</v>
      </c>
    </row>
    <row r="52" ht="15.75" customHeight="1">
      <c r="A52" s="26" t="s">
        <v>509</v>
      </c>
      <c r="B52" s="28">
        <v>46176.0</v>
      </c>
      <c r="C52" s="27" t="s">
        <v>510</v>
      </c>
      <c r="D52" s="27" t="s">
        <v>222</v>
      </c>
      <c r="E52" s="27" t="s">
        <v>394</v>
      </c>
      <c r="F52" s="26" t="s">
        <v>224</v>
      </c>
      <c r="G52" s="26" t="s">
        <v>197</v>
      </c>
      <c r="H52" s="26" t="s">
        <v>198</v>
      </c>
      <c r="I52" s="26" t="s">
        <v>511</v>
      </c>
    </row>
    <row r="53" ht="15.75" customHeight="1">
      <c r="A53" s="26" t="s">
        <v>512</v>
      </c>
      <c r="B53" s="28">
        <v>46176.0</v>
      </c>
      <c r="C53" s="27" t="s">
        <v>510</v>
      </c>
      <c r="D53" s="27" t="s">
        <v>329</v>
      </c>
      <c r="E53" s="27" t="s">
        <v>394</v>
      </c>
      <c r="F53" s="26" t="s">
        <v>330</v>
      </c>
      <c r="G53" s="26" t="s">
        <v>197</v>
      </c>
      <c r="H53" s="26" t="s">
        <v>198</v>
      </c>
      <c r="I53" s="26" t="s">
        <v>513</v>
      </c>
    </row>
    <row r="54" ht="15.75" customHeight="1">
      <c r="A54" s="33"/>
      <c r="B54" s="34"/>
      <c r="C54" s="35"/>
      <c r="D54" s="36"/>
      <c r="E54" s="36"/>
      <c r="F54" s="37"/>
      <c r="G54" s="33"/>
      <c r="H54" s="33"/>
      <c r="I54" s="37"/>
    </row>
    <row r="55" ht="15.75" customHeight="1">
      <c r="C55" s="32"/>
      <c r="G55" s="32"/>
      <c r="H55" s="32"/>
    </row>
    <row r="56" ht="15.75" customHeight="1">
      <c r="C56" s="32"/>
      <c r="G56" s="32"/>
      <c r="H56" s="32"/>
    </row>
    <row r="57" ht="15.75" customHeight="1">
      <c r="C57" s="32"/>
      <c r="G57" s="32"/>
      <c r="H57" s="32"/>
    </row>
    <row r="58" ht="15.75" customHeight="1">
      <c r="C58" s="32"/>
      <c r="G58" s="32"/>
      <c r="H58" s="32"/>
    </row>
    <row r="59" ht="15.75" customHeight="1">
      <c r="C59" s="32"/>
      <c r="G59" s="32"/>
      <c r="H59" s="32"/>
    </row>
    <row r="60" ht="15.75" customHeight="1">
      <c r="C60" s="32"/>
      <c r="G60" s="32"/>
      <c r="H60" s="32"/>
    </row>
    <row r="61" ht="15.75" customHeight="1">
      <c r="C61" s="32"/>
      <c r="G61" s="32"/>
      <c r="H61" s="32"/>
    </row>
    <row r="62" ht="15.75" customHeight="1">
      <c r="C62" s="32"/>
      <c r="G62" s="32"/>
      <c r="H62" s="32"/>
    </row>
    <row r="63" ht="15.75" customHeight="1">
      <c r="C63" s="32"/>
      <c r="G63" s="32"/>
      <c r="H63" s="32"/>
    </row>
    <row r="64" ht="15.75" customHeight="1">
      <c r="C64" s="32"/>
      <c r="G64" s="32"/>
      <c r="H64" s="32"/>
    </row>
    <row r="65" ht="15.75" customHeight="1">
      <c r="C65" s="32"/>
      <c r="G65" s="32"/>
      <c r="H65" s="32"/>
    </row>
    <row r="66" ht="15.75" customHeight="1">
      <c r="C66" s="32"/>
      <c r="G66" s="32"/>
      <c r="H66" s="32"/>
    </row>
    <row r="67" ht="15.75" customHeight="1">
      <c r="C67" s="32"/>
      <c r="G67" s="32"/>
      <c r="H67" s="32"/>
    </row>
    <row r="68" ht="15.75" customHeight="1">
      <c r="C68" s="32"/>
      <c r="G68" s="32"/>
      <c r="H68" s="32"/>
    </row>
    <row r="69" ht="15.75" customHeight="1">
      <c r="C69" s="32"/>
      <c r="G69" s="32"/>
      <c r="H69" s="32"/>
    </row>
    <row r="70" ht="15.75" customHeight="1">
      <c r="C70" s="32"/>
      <c r="G70" s="32"/>
      <c r="H70" s="32"/>
    </row>
    <row r="71" ht="15.75" customHeight="1">
      <c r="C71" s="32"/>
      <c r="G71" s="32"/>
      <c r="H71" s="32"/>
    </row>
    <row r="72" ht="15.75" customHeight="1">
      <c r="C72" s="32"/>
      <c r="G72" s="32"/>
      <c r="H72" s="32"/>
    </row>
    <row r="73" ht="15.75" customHeight="1">
      <c r="C73" s="32"/>
      <c r="G73" s="32"/>
      <c r="H73" s="32"/>
    </row>
    <row r="74" ht="15.75" customHeight="1">
      <c r="C74" s="32"/>
      <c r="G74" s="32"/>
      <c r="H74" s="32"/>
    </row>
    <row r="75" ht="15.75" customHeight="1">
      <c r="C75" s="32"/>
      <c r="G75" s="32"/>
      <c r="H75" s="32"/>
    </row>
    <row r="76" ht="15.75" customHeight="1">
      <c r="C76" s="32"/>
      <c r="G76" s="32"/>
      <c r="H76" s="32"/>
    </row>
    <row r="77" ht="15.75" customHeight="1">
      <c r="C77" s="32"/>
      <c r="G77" s="32"/>
      <c r="H77" s="32"/>
    </row>
    <row r="78" ht="15.75" customHeight="1">
      <c r="C78" s="32"/>
      <c r="G78" s="32"/>
      <c r="H78" s="32"/>
    </row>
    <row r="79" ht="15.75" customHeight="1">
      <c r="C79" s="32"/>
      <c r="G79" s="32"/>
      <c r="H79" s="32"/>
    </row>
    <row r="80" ht="15.75" customHeight="1">
      <c r="C80" s="32"/>
      <c r="G80" s="32"/>
      <c r="H80" s="32"/>
    </row>
    <row r="81" ht="15.75" customHeight="1">
      <c r="C81" s="32"/>
      <c r="G81" s="32"/>
      <c r="H81" s="32"/>
    </row>
    <row r="82" ht="15.75" customHeight="1">
      <c r="C82" s="32"/>
      <c r="G82" s="32"/>
      <c r="H82" s="32"/>
    </row>
    <row r="83" ht="15.75" customHeight="1">
      <c r="C83" s="32"/>
      <c r="G83" s="32"/>
      <c r="H83" s="32"/>
    </row>
    <row r="84" ht="15.75" customHeight="1">
      <c r="C84" s="32"/>
      <c r="G84" s="32"/>
      <c r="H84" s="32"/>
    </row>
    <row r="85" ht="15.75" customHeight="1">
      <c r="C85" s="32"/>
      <c r="G85" s="32"/>
      <c r="H85" s="32"/>
    </row>
    <row r="86" ht="15.75" customHeight="1">
      <c r="C86" s="32"/>
      <c r="G86" s="32"/>
      <c r="H86" s="32"/>
    </row>
    <row r="87" ht="15.75" customHeight="1">
      <c r="C87" s="32"/>
      <c r="G87" s="32"/>
      <c r="H87" s="32"/>
    </row>
    <row r="88" ht="15.75" customHeight="1">
      <c r="C88" s="32"/>
      <c r="G88" s="32"/>
      <c r="H88" s="32"/>
    </row>
    <row r="89" ht="15.75" customHeight="1">
      <c r="C89" s="32"/>
      <c r="G89" s="32"/>
      <c r="H89" s="32"/>
    </row>
    <row r="90" ht="15.75" customHeight="1">
      <c r="C90" s="32"/>
      <c r="G90" s="32"/>
      <c r="H90" s="32"/>
    </row>
    <row r="91" ht="15.75" customHeight="1">
      <c r="C91" s="32"/>
      <c r="G91" s="32"/>
      <c r="H91" s="32"/>
    </row>
    <row r="92" ht="15.75" customHeight="1">
      <c r="C92" s="32"/>
      <c r="G92" s="32"/>
      <c r="H92" s="32"/>
    </row>
    <row r="93" ht="15.75" customHeight="1">
      <c r="C93" s="32"/>
      <c r="G93" s="32"/>
      <c r="H93" s="32"/>
    </row>
    <row r="94" ht="15.75" customHeight="1">
      <c r="C94" s="32"/>
      <c r="G94" s="32"/>
      <c r="H94" s="32"/>
    </row>
    <row r="95" ht="15.75" customHeight="1">
      <c r="C95" s="32"/>
      <c r="G95" s="32"/>
      <c r="H95" s="32"/>
    </row>
    <row r="96" ht="15.75" customHeight="1">
      <c r="C96" s="32"/>
      <c r="G96" s="32"/>
      <c r="H96" s="32"/>
    </row>
    <row r="97" ht="15.75" customHeight="1">
      <c r="C97" s="32"/>
      <c r="G97" s="32"/>
      <c r="H97" s="32"/>
    </row>
    <row r="98" ht="15.75" customHeight="1">
      <c r="C98" s="32"/>
      <c r="G98" s="32"/>
      <c r="H98" s="32"/>
    </row>
    <row r="99" ht="15.75" customHeight="1">
      <c r="C99" s="32"/>
      <c r="G99" s="32"/>
      <c r="H99" s="32"/>
    </row>
    <row r="100" ht="15.75" customHeight="1">
      <c r="C100" s="32"/>
      <c r="G100" s="32"/>
      <c r="H100" s="32"/>
    </row>
    <row r="101" ht="15.75" customHeight="1">
      <c r="C101" s="32"/>
      <c r="G101" s="32"/>
      <c r="H101" s="32"/>
    </row>
    <row r="102" ht="15.75" customHeight="1">
      <c r="C102" s="32"/>
      <c r="G102" s="32"/>
      <c r="H102" s="32"/>
    </row>
    <row r="103" ht="15.75" customHeight="1">
      <c r="C103" s="32"/>
      <c r="G103" s="32"/>
      <c r="H103" s="32"/>
    </row>
    <row r="104" ht="15.75" customHeight="1">
      <c r="C104" s="32"/>
      <c r="G104" s="32"/>
      <c r="H104" s="32"/>
    </row>
    <row r="105" ht="15.75" customHeight="1">
      <c r="C105" s="32"/>
      <c r="G105" s="32"/>
      <c r="H105" s="32"/>
    </row>
    <row r="106" ht="15.75" customHeight="1">
      <c r="C106" s="32"/>
      <c r="G106" s="32"/>
      <c r="H106" s="32"/>
    </row>
    <row r="107" ht="15.75" customHeight="1">
      <c r="C107" s="32"/>
      <c r="G107" s="32"/>
      <c r="H107" s="32"/>
    </row>
    <row r="108" ht="15.75" customHeight="1">
      <c r="C108" s="32"/>
      <c r="G108" s="32"/>
      <c r="H108" s="32"/>
    </row>
    <row r="109" ht="15.75" customHeight="1">
      <c r="C109" s="32"/>
      <c r="G109" s="32"/>
      <c r="H109" s="32"/>
    </row>
    <row r="110" ht="15.75" customHeight="1">
      <c r="C110" s="32"/>
      <c r="G110" s="32"/>
      <c r="H110" s="32"/>
    </row>
    <row r="111" ht="15.75" customHeight="1">
      <c r="C111" s="32"/>
      <c r="G111" s="32"/>
      <c r="H111" s="32"/>
    </row>
    <row r="112" ht="15.75" customHeight="1">
      <c r="C112" s="32"/>
      <c r="G112" s="32"/>
      <c r="H112" s="32"/>
    </row>
    <row r="113" ht="15.75" customHeight="1">
      <c r="C113" s="32"/>
      <c r="G113" s="32"/>
      <c r="H113" s="32"/>
    </row>
    <row r="114" ht="15.75" customHeight="1">
      <c r="C114" s="32"/>
      <c r="G114" s="32"/>
      <c r="H114" s="32"/>
    </row>
    <row r="115" ht="15.75" customHeight="1">
      <c r="C115" s="32"/>
      <c r="G115" s="32"/>
      <c r="H115" s="32"/>
    </row>
    <row r="116" ht="15.75" customHeight="1">
      <c r="C116" s="32"/>
      <c r="G116" s="32"/>
      <c r="H116" s="32"/>
    </row>
    <row r="117" ht="15.75" customHeight="1">
      <c r="C117" s="32"/>
      <c r="G117" s="32"/>
      <c r="H117" s="32"/>
    </row>
    <row r="118" ht="15.75" customHeight="1">
      <c r="C118" s="32"/>
      <c r="G118" s="32"/>
      <c r="H118" s="32"/>
    </row>
    <row r="119" ht="15.75" customHeight="1">
      <c r="C119" s="32"/>
      <c r="G119" s="32"/>
      <c r="H119" s="32"/>
    </row>
    <row r="120" ht="15.75" customHeight="1">
      <c r="C120" s="32"/>
      <c r="G120" s="32"/>
      <c r="H120" s="32"/>
    </row>
    <row r="121" ht="15.75" customHeight="1">
      <c r="C121" s="32"/>
      <c r="G121" s="32"/>
      <c r="H121" s="32"/>
    </row>
    <row r="122" ht="15.75" customHeight="1">
      <c r="C122" s="32"/>
      <c r="G122" s="32"/>
      <c r="H122" s="32"/>
    </row>
    <row r="123" ht="15.75" customHeight="1">
      <c r="C123" s="32"/>
      <c r="G123" s="32"/>
      <c r="H123" s="32"/>
    </row>
    <row r="124" ht="15.75" customHeight="1">
      <c r="C124" s="32"/>
      <c r="G124" s="32"/>
      <c r="H124" s="32"/>
    </row>
    <row r="125" ht="15.75" customHeight="1">
      <c r="C125" s="32"/>
      <c r="G125" s="32"/>
      <c r="H125" s="32"/>
    </row>
    <row r="126" ht="15.75" customHeight="1">
      <c r="C126" s="32"/>
      <c r="G126" s="32"/>
      <c r="H126" s="32"/>
    </row>
    <row r="127" ht="15.75" customHeight="1">
      <c r="C127" s="32"/>
      <c r="G127" s="32"/>
      <c r="H127" s="32"/>
    </row>
    <row r="128" ht="15.75" customHeight="1">
      <c r="C128" s="32"/>
      <c r="G128" s="32"/>
      <c r="H128" s="32"/>
    </row>
    <row r="129" ht="15.75" customHeight="1">
      <c r="C129" s="32"/>
      <c r="G129" s="32"/>
      <c r="H129" s="32"/>
    </row>
    <row r="130" ht="15.75" customHeight="1">
      <c r="C130" s="32"/>
      <c r="G130" s="32"/>
      <c r="H130" s="32"/>
    </row>
    <row r="131" ht="15.75" customHeight="1">
      <c r="C131" s="32"/>
      <c r="G131" s="32"/>
      <c r="H131" s="32"/>
    </row>
    <row r="132" ht="15.75" customHeight="1">
      <c r="C132" s="32"/>
      <c r="G132" s="32"/>
      <c r="H132" s="32"/>
    </row>
    <row r="133" ht="15.75" customHeight="1">
      <c r="C133" s="32"/>
      <c r="G133" s="32"/>
      <c r="H133" s="32"/>
    </row>
    <row r="134" ht="15.75" customHeight="1">
      <c r="C134" s="32"/>
      <c r="G134" s="32"/>
      <c r="H134" s="32"/>
    </row>
    <row r="135" ht="15.75" customHeight="1">
      <c r="C135" s="32"/>
      <c r="G135" s="32"/>
      <c r="H135" s="32"/>
    </row>
    <row r="136" ht="15.75" customHeight="1">
      <c r="C136" s="32"/>
      <c r="G136" s="32"/>
      <c r="H136" s="32"/>
    </row>
    <row r="137" ht="15.75" customHeight="1">
      <c r="C137" s="32"/>
      <c r="G137" s="32"/>
      <c r="H137" s="32"/>
    </row>
    <row r="138" ht="15.75" customHeight="1">
      <c r="C138" s="32"/>
      <c r="G138" s="32"/>
      <c r="H138" s="32"/>
    </row>
    <row r="139" ht="15.75" customHeight="1">
      <c r="C139" s="32"/>
      <c r="G139" s="32"/>
      <c r="H139" s="32"/>
    </row>
    <row r="140" ht="15.75" customHeight="1">
      <c r="C140" s="32"/>
      <c r="G140" s="32"/>
      <c r="H140" s="32"/>
    </row>
    <row r="141" ht="15.75" customHeight="1">
      <c r="C141" s="32"/>
      <c r="G141" s="32"/>
      <c r="H141" s="32"/>
    </row>
    <row r="142" ht="15.75" customHeight="1">
      <c r="C142" s="32"/>
      <c r="G142" s="32"/>
      <c r="H142" s="32"/>
    </row>
    <row r="143" ht="15.75" customHeight="1">
      <c r="C143" s="32"/>
      <c r="G143" s="32"/>
      <c r="H143" s="32"/>
    </row>
    <row r="144" ht="15.75" customHeight="1">
      <c r="C144" s="32"/>
      <c r="G144" s="32"/>
      <c r="H144" s="32"/>
    </row>
    <row r="145" ht="15.75" customHeight="1">
      <c r="C145" s="32"/>
      <c r="G145" s="32"/>
      <c r="H145" s="32"/>
    </row>
    <row r="146" ht="15.75" customHeight="1">
      <c r="C146" s="32"/>
      <c r="G146" s="32"/>
      <c r="H146" s="32"/>
    </row>
    <row r="147" ht="15.75" customHeight="1">
      <c r="C147" s="32"/>
      <c r="G147" s="32"/>
      <c r="H147" s="32"/>
    </row>
    <row r="148" ht="15.75" customHeight="1">
      <c r="C148" s="32"/>
      <c r="G148" s="32"/>
      <c r="H148" s="32"/>
    </row>
    <row r="149" ht="15.75" customHeight="1">
      <c r="C149" s="32"/>
      <c r="G149" s="32"/>
      <c r="H149" s="32"/>
    </row>
    <row r="150" ht="15.75" customHeight="1">
      <c r="C150" s="32"/>
      <c r="G150" s="32"/>
      <c r="H150" s="32"/>
    </row>
    <row r="151" ht="15.75" customHeight="1">
      <c r="C151" s="32"/>
      <c r="G151" s="32"/>
      <c r="H151" s="32"/>
    </row>
    <row r="152" ht="15.75" customHeight="1">
      <c r="C152" s="32"/>
      <c r="G152" s="32"/>
      <c r="H152" s="32"/>
    </row>
    <row r="153" ht="15.75" customHeight="1">
      <c r="C153" s="32"/>
      <c r="G153" s="32"/>
      <c r="H153" s="32"/>
    </row>
    <row r="154" ht="15.75" customHeight="1">
      <c r="C154" s="32"/>
      <c r="G154" s="32"/>
      <c r="H154" s="32"/>
    </row>
    <row r="155" ht="15.75" customHeight="1">
      <c r="C155" s="32"/>
      <c r="G155" s="32"/>
      <c r="H155" s="32"/>
    </row>
    <row r="156" ht="15.75" customHeight="1">
      <c r="C156" s="32"/>
      <c r="G156" s="32"/>
      <c r="H156" s="32"/>
    </row>
    <row r="157" ht="15.75" customHeight="1">
      <c r="C157" s="32"/>
      <c r="G157" s="32"/>
      <c r="H157" s="32"/>
    </row>
    <row r="158" ht="15.75" customHeight="1">
      <c r="C158" s="32"/>
      <c r="G158" s="32"/>
      <c r="H158" s="32"/>
    </row>
    <row r="159" ht="15.75" customHeight="1">
      <c r="C159" s="32"/>
      <c r="G159" s="32"/>
      <c r="H159" s="32"/>
    </row>
    <row r="160" ht="15.75" customHeight="1">
      <c r="C160" s="32"/>
      <c r="G160" s="32"/>
      <c r="H160" s="32"/>
    </row>
    <row r="161" ht="15.75" customHeight="1">
      <c r="C161" s="32"/>
      <c r="G161" s="32"/>
      <c r="H161" s="32"/>
    </row>
    <row r="162" ht="15.75" customHeight="1">
      <c r="C162" s="32"/>
      <c r="G162" s="32"/>
      <c r="H162" s="32"/>
    </row>
    <row r="163" ht="15.75" customHeight="1">
      <c r="C163" s="32"/>
      <c r="G163" s="32"/>
      <c r="H163" s="32"/>
    </row>
    <row r="164" ht="15.75" customHeight="1">
      <c r="C164" s="32"/>
      <c r="G164" s="32"/>
      <c r="H164" s="32"/>
    </row>
    <row r="165" ht="15.75" customHeight="1">
      <c r="C165" s="32"/>
      <c r="G165" s="32"/>
      <c r="H165" s="32"/>
    </row>
    <row r="166" ht="15.75" customHeight="1">
      <c r="C166" s="32"/>
      <c r="G166" s="32"/>
      <c r="H166" s="32"/>
    </row>
    <row r="167" ht="15.75" customHeight="1">
      <c r="C167" s="32"/>
      <c r="G167" s="32"/>
      <c r="H167" s="32"/>
    </row>
    <row r="168" ht="15.75" customHeight="1">
      <c r="C168" s="32"/>
      <c r="G168" s="32"/>
      <c r="H168" s="32"/>
    </row>
    <row r="169" ht="15.75" customHeight="1">
      <c r="C169" s="32"/>
      <c r="G169" s="32"/>
      <c r="H169" s="32"/>
    </row>
    <row r="170" ht="15.75" customHeight="1">
      <c r="C170" s="32"/>
      <c r="G170" s="32"/>
      <c r="H170" s="32"/>
    </row>
    <row r="171" ht="15.75" customHeight="1">
      <c r="C171" s="32"/>
      <c r="G171" s="32"/>
      <c r="H171" s="32"/>
    </row>
    <row r="172" ht="15.75" customHeight="1">
      <c r="C172" s="32"/>
      <c r="G172" s="32"/>
      <c r="H172" s="32"/>
    </row>
    <row r="173" ht="15.75" customHeight="1">
      <c r="C173" s="32"/>
      <c r="G173" s="32"/>
      <c r="H173" s="32"/>
    </row>
    <row r="174" ht="15.75" customHeight="1">
      <c r="C174" s="32"/>
      <c r="G174" s="32"/>
      <c r="H174" s="32"/>
    </row>
    <row r="175" ht="15.75" customHeight="1">
      <c r="C175" s="32"/>
      <c r="G175" s="32"/>
      <c r="H175" s="32"/>
    </row>
    <row r="176" ht="15.75" customHeight="1">
      <c r="C176" s="32"/>
      <c r="G176" s="32"/>
      <c r="H176" s="32"/>
    </row>
    <row r="177" ht="15.75" customHeight="1">
      <c r="C177" s="32"/>
      <c r="G177" s="32"/>
      <c r="H177" s="32"/>
    </row>
    <row r="178" ht="15.75" customHeight="1">
      <c r="C178" s="32"/>
      <c r="G178" s="32"/>
      <c r="H178" s="32"/>
    </row>
    <row r="179" ht="15.75" customHeight="1">
      <c r="C179" s="32"/>
      <c r="G179" s="32"/>
      <c r="H179" s="32"/>
    </row>
    <row r="180" ht="15.75" customHeight="1">
      <c r="C180" s="32"/>
      <c r="G180" s="32"/>
      <c r="H180" s="32"/>
    </row>
    <row r="181" ht="15.75" customHeight="1">
      <c r="C181" s="32"/>
      <c r="G181" s="32"/>
      <c r="H181" s="32"/>
    </row>
    <row r="182" ht="15.75" customHeight="1">
      <c r="C182" s="32"/>
      <c r="G182" s="32"/>
      <c r="H182" s="32"/>
    </row>
    <row r="183" ht="15.75" customHeight="1">
      <c r="C183" s="32"/>
      <c r="G183" s="32"/>
      <c r="H183" s="32"/>
    </row>
    <row r="184" ht="15.75" customHeight="1">
      <c r="C184" s="32"/>
      <c r="G184" s="32"/>
      <c r="H184" s="32"/>
    </row>
    <row r="185" ht="15.75" customHeight="1">
      <c r="C185" s="32"/>
      <c r="G185" s="32"/>
      <c r="H185" s="32"/>
    </row>
    <row r="186" ht="15.75" customHeight="1">
      <c r="C186" s="32"/>
      <c r="G186" s="32"/>
      <c r="H186" s="32"/>
    </row>
    <row r="187" ht="15.75" customHeight="1">
      <c r="C187" s="32"/>
      <c r="G187" s="32"/>
      <c r="H187" s="32"/>
    </row>
    <row r="188" ht="15.75" customHeight="1">
      <c r="C188" s="32"/>
      <c r="G188" s="32"/>
      <c r="H188" s="32"/>
    </row>
    <row r="189" ht="15.75" customHeight="1">
      <c r="C189" s="32"/>
      <c r="G189" s="32"/>
      <c r="H189" s="32"/>
    </row>
    <row r="190" ht="15.75" customHeight="1">
      <c r="C190" s="32"/>
      <c r="G190" s="32"/>
      <c r="H190" s="32"/>
    </row>
    <row r="191" ht="15.75" customHeight="1">
      <c r="C191" s="32"/>
      <c r="G191" s="32"/>
      <c r="H191" s="32"/>
    </row>
    <row r="192" ht="15.75" customHeight="1">
      <c r="C192" s="32"/>
      <c r="G192" s="32"/>
      <c r="H192" s="32"/>
    </row>
    <row r="193" ht="15.75" customHeight="1">
      <c r="C193" s="32"/>
      <c r="G193" s="32"/>
      <c r="H193" s="32"/>
    </row>
    <row r="194" ht="15.75" customHeight="1">
      <c r="C194" s="32"/>
      <c r="G194" s="32"/>
      <c r="H194" s="32"/>
    </row>
    <row r="195" ht="15.75" customHeight="1">
      <c r="C195" s="32"/>
      <c r="G195" s="32"/>
      <c r="H195" s="32"/>
    </row>
    <row r="196" ht="15.75" customHeight="1">
      <c r="C196" s="32"/>
      <c r="G196" s="32"/>
      <c r="H196" s="32"/>
    </row>
    <row r="197" ht="15.75" customHeight="1">
      <c r="C197" s="32"/>
      <c r="G197" s="32"/>
      <c r="H197" s="32"/>
    </row>
    <row r="198" ht="15.75" customHeight="1">
      <c r="C198" s="32"/>
      <c r="G198" s="32"/>
      <c r="H198" s="32"/>
    </row>
    <row r="199" ht="15.75" customHeight="1">
      <c r="C199" s="32"/>
      <c r="G199" s="32"/>
      <c r="H199" s="32"/>
    </row>
    <row r="200" ht="15.75" customHeight="1">
      <c r="C200" s="32"/>
      <c r="G200" s="32"/>
      <c r="H200" s="32"/>
    </row>
    <row r="201" ht="15.75" customHeight="1">
      <c r="C201" s="32"/>
      <c r="G201" s="32"/>
      <c r="H201" s="32"/>
    </row>
    <row r="202" ht="15.75" customHeight="1">
      <c r="C202" s="32"/>
      <c r="G202" s="32"/>
      <c r="H202" s="32"/>
    </row>
    <row r="203" ht="15.75" customHeight="1">
      <c r="C203" s="32"/>
      <c r="G203" s="32"/>
      <c r="H203" s="32"/>
    </row>
    <row r="204" ht="15.75" customHeight="1">
      <c r="C204" s="32"/>
      <c r="G204" s="32"/>
      <c r="H204" s="32"/>
    </row>
    <row r="205" ht="15.75" customHeight="1">
      <c r="C205" s="32"/>
      <c r="G205" s="32"/>
      <c r="H205" s="32"/>
    </row>
    <row r="206" ht="15.75" customHeight="1">
      <c r="C206" s="32"/>
      <c r="G206" s="32"/>
      <c r="H206" s="32"/>
    </row>
    <row r="207" ht="15.75" customHeight="1">
      <c r="C207" s="32"/>
      <c r="G207" s="32"/>
      <c r="H207" s="32"/>
    </row>
    <row r="208" ht="15.75" customHeight="1">
      <c r="C208" s="32"/>
      <c r="G208" s="32"/>
      <c r="H208" s="32"/>
    </row>
    <row r="209" ht="15.75" customHeight="1">
      <c r="C209" s="32"/>
      <c r="G209" s="32"/>
      <c r="H209" s="32"/>
    </row>
    <row r="210" ht="15.75" customHeight="1">
      <c r="C210" s="32"/>
      <c r="G210" s="32"/>
      <c r="H210" s="32"/>
    </row>
    <row r="211" ht="15.75" customHeight="1">
      <c r="C211" s="32"/>
      <c r="G211" s="32"/>
      <c r="H211" s="32"/>
    </row>
    <row r="212" ht="15.75" customHeight="1">
      <c r="C212" s="32"/>
      <c r="G212" s="32"/>
      <c r="H212" s="32"/>
    </row>
    <row r="213" ht="15.75" customHeight="1">
      <c r="C213" s="32"/>
      <c r="G213" s="32"/>
      <c r="H213" s="32"/>
    </row>
    <row r="214" ht="15.75" customHeight="1">
      <c r="C214" s="32"/>
      <c r="G214" s="32"/>
      <c r="H214" s="32"/>
    </row>
    <row r="215" ht="15.75" customHeight="1">
      <c r="C215" s="32"/>
      <c r="G215" s="32"/>
      <c r="H215" s="32"/>
    </row>
    <row r="216" ht="15.75" customHeight="1">
      <c r="C216" s="32"/>
      <c r="G216" s="32"/>
      <c r="H216" s="32"/>
    </row>
    <row r="217" ht="15.75" customHeight="1">
      <c r="C217" s="32"/>
      <c r="G217" s="32"/>
      <c r="H217" s="32"/>
    </row>
    <row r="218" ht="15.75" customHeight="1">
      <c r="C218" s="32"/>
      <c r="G218" s="32"/>
      <c r="H218" s="32"/>
    </row>
    <row r="219" ht="15.75" customHeight="1">
      <c r="C219" s="32"/>
      <c r="G219" s="32"/>
      <c r="H219" s="32"/>
    </row>
    <row r="220" ht="15.75" customHeight="1">
      <c r="C220" s="32"/>
      <c r="G220" s="32"/>
      <c r="H220" s="32"/>
    </row>
    <row r="221" ht="15.75" customHeight="1">
      <c r="C221" s="32"/>
      <c r="G221" s="32"/>
      <c r="H221" s="32"/>
    </row>
    <row r="222" ht="15.75" customHeight="1">
      <c r="C222" s="32"/>
      <c r="G222" s="32"/>
      <c r="H222" s="32"/>
    </row>
    <row r="223" ht="15.75" customHeight="1">
      <c r="C223" s="32"/>
      <c r="G223" s="32"/>
      <c r="H223" s="32"/>
    </row>
    <row r="224" ht="15.75" customHeight="1">
      <c r="C224" s="32"/>
      <c r="G224" s="32"/>
      <c r="H224" s="32"/>
    </row>
    <row r="225" ht="15.75" customHeight="1">
      <c r="C225" s="32"/>
      <c r="G225" s="32"/>
      <c r="H225" s="32"/>
    </row>
    <row r="226" ht="15.75" customHeight="1">
      <c r="C226" s="32"/>
      <c r="G226" s="32"/>
      <c r="H226" s="32"/>
    </row>
    <row r="227" ht="15.75" customHeight="1">
      <c r="C227" s="32"/>
      <c r="G227" s="32"/>
      <c r="H227" s="32"/>
    </row>
    <row r="228" ht="15.75" customHeight="1">
      <c r="C228" s="32"/>
      <c r="G228" s="32"/>
      <c r="H228" s="32"/>
    </row>
    <row r="229" ht="15.75" customHeight="1">
      <c r="C229" s="32"/>
      <c r="G229" s="32"/>
      <c r="H229" s="32"/>
    </row>
    <row r="230" ht="15.75" customHeight="1">
      <c r="C230" s="32"/>
      <c r="G230" s="32"/>
      <c r="H230" s="32"/>
    </row>
    <row r="231" ht="15.75" customHeight="1">
      <c r="C231" s="32"/>
      <c r="G231" s="32"/>
      <c r="H231" s="32"/>
    </row>
    <row r="232" ht="15.75" customHeight="1">
      <c r="C232" s="32"/>
      <c r="G232" s="32"/>
      <c r="H232" s="32"/>
    </row>
    <row r="233" ht="15.75" customHeight="1">
      <c r="C233" s="32"/>
      <c r="G233" s="32"/>
      <c r="H233" s="32"/>
    </row>
    <row r="234" ht="15.75" customHeight="1">
      <c r="C234" s="32"/>
      <c r="G234" s="32"/>
      <c r="H234" s="32"/>
    </row>
    <row r="235" ht="15.75" customHeight="1">
      <c r="C235" s="32"/>
      <c r="G235" s="32"/>
      <c r="H235" s="32"/>
    </row>
    <row r="236" ht="15.75" customHeight="1">
      <c r="C236" s="32"/>
      <c r="G236" s="32"/>
      <c r="H236" s="32"/>
    </row>
    <row r="237" ht="15.75" customHeight="1">
      <c r="C237" s="32"/>
      <c r="G237" s="32"/>
      <c r="H237" s="32"/>
    </row>
    <row r="238" ht="15.75" customHeight="1">
      <c r="C238" s="32"/>
      <c r="G238" s="32"/>
      <c r="H238" s="32"/>
    </row>
    <row r="239" ht="15.75" customHeight="1">
      <c r="C239" s="32"/>
      <c r="G239" s="32"/>
      <c r="H239" s="32"/>
    </row>
    <row r="240" ht="15.75" customHeight="1">
      <c r="C240" s="32"/>
      <c r="G240" s="32"/>
      <c r="H240" s="32"/>
    </row>
    <row r="241" ht="15.75" customHeight="1">
      <c r="C241" s="32"/>
      <c r="G241" s="32"/>
      <c r="H241" s="32"/>
    </row>
    <row r="242" ht="15.75" customHeight="1">
      <c r="C242" s="32"/>
      <c r="G242" s="32"/>
      <c r="H242" s="32"/>
    </row>
    <row r="243" ht="15.75" customHeight="1">
      <c r="C243" s="32"/>
      <c r="G243" s="32"/>
      <c r="H243" s="32"/>
    </row>
    <row r="244" ht="15.75" customHeight="1">
      <c r="C244" s="32"/>
      <c r="G244" s="32"/>
      <c r="H244" s="32"/>
    </row>
    <row r="245" ht="15.75" customHeight="1">
      <c r="C245" s="32"/>
      <c r="G245" s="32"/>
      <c r="H245" s="32"/>
    </row>
    <row r="246" ht="15.75" customHeight="1">
      <c r="C246" s="32"/>
      <c r="G246" s="32"/>
      <c r="H246" s="32"/>
    </row>
    <row r="247" ht="15.75" customHeight="1">
      <c r="C247" s="32"/>
      <c r="G247" s="32"/>
      <c r="H247" s="32"/>
    </row>
    <row r="248" ht="15.75" customHeight="1">
      <c r="C248" s="32"/>
      <c r="G248" s="32"/>
      <c r="H248" s="32"/>
    </row>
    <row r="249" ht="15.75" customHeight="1">
      <c r="C249" s="32"/>
      <c r="G249" s="32"/>
      <c r="H249" s="32"/>
    </row>
    <row r="250" ht="15.75" customHeight="1">
      <c r="C250" s="32"/>
      <c r="G250" s="32"/>
      <c r="H250" s="32"/>
    </row>
    <row r="251" ht="15.75" customHeight="1">
      <c r="C251" s="32"/>
      <c r="G251" s="32"/>
      <c r="H251" s="32"/>
    </row>
    <row r="252" ht="15.75" customHeight="1">
      <c r="C252" s="32"/>
      <c r="G252" s="32"/>
      <c r="H252" s="32"/>
    </row>
    <row r="253" ht="15.75" customHeight="1">
      <c r="C253" s="32"/>
      <c r="G253" s="32"/>
      <c r="H253" s="32"/>
    </row>
    <row r="254" ht="15.75" customHeight="1">
      <c r="C254" s="32"/>
      <c r="G254" s="32"/>
      <c r="H254" s="32"/>
    </row>
    <row r="255" ht="15.75" customHeight="1">
      <c r="C255" s="32"/>
      <c r="G255" s="32"/>
      <c r="H255" s="32"/>
    </row>
    <row r="256" ht="15.75" customHeight="1">
      <c r="C256" s="32"/>
      <c r="G256" s="32"/>
      <c r="H256" s="32"/>
    </row>
    <row r="257" ht="15.75" customHeight="1">
      <c r="C257" s="32"/>
      <c r="G257" s="32"/>
      <c r="H257" s="32"/>
    </row>
    <row r="258" ht="15.75" customHeight="1">
      <c r="C258" s="32"/>
      <c r="G258" s="32"/>
      <c r="H258" s="32"/>
    </row>
    <row r="259" ht="15.75" customHeight="1">
      <c r="C259" s="32"/>
      <c r="G259" s="32"/>
      <c r="H259" s="32"/>
    </row>
    <row r="260" ht="15.75" customHeight="1">
      <c r="C260" s="32"/>
      <c r="G260" s="32"/>
      <c r="H260" s="32"/>
    </row>
    <row r="261" ht="15.75" customHeight="1">
      <c r="C261" s="32"/>
      <c r="G261" s="32"/>
      <c r="H261" s="32"/>
    </row>
    <row r="262" ht="15.75" customHeight="1">
      <c r="C262" s="32"/>
      <c r="G262" s="32"/>
      <c r="H262" s="32"/>
    </row>
    <row r="263" ht="15.75" customHeight="1">
      <c r="C263" s="32"/>
      <c r="G263" s="32"/>
      <c r="H263" s="32"/>
    </row>
    <row r="264" ht="15.75" customHeight="1">
      <c r="C264" s="32"/>
      <c r="G264" s="32"/>
      <c r="H264" s="32"/>
    </row>
    <row r="265" ht="15.75" customHeight="1">
      <c r="C265" s="32"/>
      <c r="G265" s="32"/>
      <c r="H265" s="32"/>
    </row>
    <row r="266" ht="15.75" customHeight="1">
      <c r="C266" s="32"/>
      <c r="G266" s="32"/>
      <c r="H266" s="32"/>
    </row>
    <row r="267" ht="15.75" customHeight="1">
      <c r="C267" s="32"/>
      <c r="G267" s="32"/>
      <c r="H267" s="32"/>
    </row>
    <row r="268" ht="15.75" customHeight="1">
      <c r="C268" s="32"/>
      <c r="G268" s="32"/>
      <c r="H268" s="32"/>
    </row>
    <row r="269" ht="15.75" customHeight="1">
      <c r="C269" s="32"/>
      <c r="G269" s="32"/>
      <c r="H269" s="32"/>
    </row>
    <row r="270" ht="15.75" customHeight="1">
      <c r="C270" s="32"/>
      <c r="G270" s="32"/>
      <c r="H270" s="32"/>
    </row>
    <row r="271" ht="15.75" customHeight="1">
      <c r="C271" s="32"/>
      <c r="G271" s="32"/>
      <c r="H271" s="32"/>
    </row>
    <row r="272" ht="15.75" customHeight="1">
      <c r="C272" s="32"/>
      <c r="G272" s="32"/>
      <c r="H272" s="32"/>
    </row>
    <row r="273" ht="15.75" customHeight="1">
      <c r="C273" s="32"/>
      <c r="G273" s="32"/>
      <c r="H273" s="32"/>
    </row>
    <row r="274" ht="15.75" customHeight="1">
      <c r="C274" s="32"/>
      <c r="G274" s="32"/>
      <c r="H274" s="32"/>
    </row>
    <row r="275" ht="15.75" customHeight="1">
      <c r="C275" s="32"/>
      <c r="G275" s="32"/>
      <c r="H275" s="32"/>
    </row>
    <row r="276" ht="15.75" customHeight="1">
      <c r="C276" s="32"/>
      <c r="G276" s="32"/>
      <c r="H276" s="32"/>
    </row>
    <row r="277" ht="15.75" customHeight="1">
      <c r="C277" s="32"/>
      <c r="G277" s="32"/>
      <c r="H277" s="32"/>
    </row>
    <row r="278" ht="15.75" customHeight="1">
      <c r="C278" s="32"/>
      <c r="G278" s="32"/>
      <c r="H278" s="32"/>
    </row>
    <row r="279" ht="15.75" customHeight="1">
      <c r="C279" s="32"/>
      <c r="G279" s="32"/>
      <c r="H279" s="32"/>
    </row>
    <row r="280" ht="15.75" customHeight="1">
      <c r="C280" s="32"/>
      <c r="G280" s="32"/>
      <c r="H280" s="32"/>
    </row>
    <row r="281" ht="15.75" customHeight="1">
      <c r="C281" s="32"/>
      <c r="G281" s="32"/>
      <c r="H281" s="32"/>
    </row>
    <row r="282" ht="15.75" customHeight="1">
      <c r="C282" s="32"/>
      <c r="G282" s="32"/>
      <c r="H282" s="32"/>
    </row>
    <row r="283" ht="15.75" customHeight="1">
      <c r="C283" s="32"/>
      <c r="G283" s="32"/>
      <c r="H283" s="32"/>
    </row>
    <row r="284" ht="15.75" customHeight="1">
      <c r="C284" s="32"/>
      <c r="G284" s="32"/>
      <c r="H284" s="32"/>
    </row>
    <row r="285" ht="15.75" customHeight="1">
      <c r="C285" s="32"/>
      <c r="G285" s="32"/>
      <c r="H285" s="32"/>
    </row>
    <row r="286" ht="15.75" customHeight="1">
      <c r="C286" s="32"/>
      <c r="G286" s="32"/>
      <c r="H286" s="32"/>
    </row>
    <row r="287" ht="15.75" customHeight="1">
      <c r="C287" s="32"/>
      <c r="G287" s="32"/>
      <c r="H287" s="32"/>
    </row>
    <row r="288" ht="15.75" customHeight="1">
      <c r="C288" s="32"/>
      <c r="G288" s="32"/>
      <c r="H288" s="32"/>
    </row>
    <row r="289" ht="15.75" customHeight="1">
      <c r="C289" s="32"/>
      <c r="G289" s="32"/>
      <c r="H289" s="32"/>
    </row>
    <row r="290" ht="15.75" customHeight="1">
      <c r="C290" s="32"/>
      <c r="G290" s="32"/>
      <c r="H290" s="32"/>
    </row>
    <row r="291" ht="15.75" customHeight="1">
      <c r="C291" s="32"/>
      <c r="G291" s="32"/>
      <c r="H291" s="32"/>
    </row>
    <row r="292" ht="15.75" customHeight="1">
      <c r="C292" s="32"/>
      <c r="G292" s="32"/>
      <c r="H292" s="32"/>
    </row>
    <row r="293" ht="15.75" customHeight="1">
      <c r="C293" s="32"/>
      <c r="G293" s="32"/>
      <c r="H293" s="32"/>
    </row>
    <row r="294" ht="15.75" customHeight="1">
      <c r="C294" s="32"/>
      <c r="G294" s="32"/>
      <c r="H294" s="32"/>
    </row>
    <row r="295" ht="15.75" customHeight="1">
      <c r="C295" s="32"/>
      <c r="G295" s="32"/>
      <c r="H295" s="32"/>
    </row>
    <row r="296" ht="15.75" customHeight="1">
      <c r="C296" s="32"/>
      <c r="G296" s="32"/>
      <c r="H296" s="32"/>
    </row>
    <row r="297" ht="15.75" customHeight="1">
      <c r="C297" s="32"/>
      <c r="G297" s="32"/>
      <c r="H297" s="32"/>
    </row>
    <row r="298" ht="15.75" customHeight="1">
      <c r="C298" s="32"/>
      <c r="G298" s="32"/>
      <c r="H298" s="32"/>
    </row>
    <row r="299" ht="15.75" customHeight="1">
      <c r="C299" s="32"/>
      <c r="G299" s="32"/>
      <c r="H299" s="32"/>
    </row>
    <row r="300" ht="15.75" customHeight="1">
      <c r="C300" s="32"/>
      <c r="G300" s="32"/>
      <c r="H300" s="32"/>
    </row>
    <row r="301" ht="15.75" customHeight="1">
      <c r="C301" s="32"/>
      <c r="G301" s="32"/>
      <c r="H301" s="32"/>
    </row>
    <row r="302" ht="15.75" customHeight="1">
      <c r="C302" s="32"/>
      <c r="G302" s="32"/>
      <c r="H302" s="32"/>
    </row>
    <row r="303" ht="15.75" customHeight="1">
      <c r="C303" s="32"/>
      <c r="G303" s="32"/>
      <c r="H303" s="32"/>
    </row>
    <row r="304" ht="15.75" customHeight="1">
      <c r="C304" s="32"/>
      <c r="G304" s="32"/>
      <c r="H304" s="32"/>
    </row>
    <row r="305" ht="15.75" customHeight="1">
      <c r="C305" s="32"/>
      <c r="G305" s="32"/>
      <c r="H305" s="32"/>
    </row>
    <row r="306" ht="15.75" customHeight="1">
      <c r="C306" s="32"/>
      <c r="G306" s="32"/>
      <c r="H306" s="32"/>
    </row>
    <row r="307" ht="15.75" customHeight="1">
      <c r="C307" s="32"/>
      <c r="G307" s="32"/>
      <c r="H307" s="32"/>
    </row>
    <row r="308" ht="15.75" customHeight="1">
      <c r="C308" s="32"/>
      <c r="G308" s="32"/>
      <c r="H308" s="32"/>
    </row>
    <row r="309" ht="15.75" customHeight="1">
      <c r="C309" s="32"/>
      <c r="G309" s="32"/>
      <c r="H309" s="32"/>
    </row>
    <row r="310" ht="15.75" customHeight="1">
      <c r="C310" s="32"/>
      <c r="G310" s="32"/>
      <c r="H310" s="32"/>
    </row>
    <row r="311" ht="15.75" customHeight="1">
      <c r="C311" s="32"/>
      <c r="G311" s="32"/>
      <c r="H311" s="32"/>
    </row>
    <row r="312" ht="15.75" customHeight="1">
      <c r="C312" s="32"/>
      <c r="G312" s="32"/>
      <c r="H312" s="32"/>
    </row>
    <row r="313" ht="15.75" customHeight="1">
      <c r="C313" s="32"/>
      <c r="G313" s="32"/>
      <c r="H313" s="32"/>
    </row>
    <row r="314" ht="15.75" customHeight="1">
      <c r="C314" s="32"/>
      <c r="G314" s="32"/>
      <c r="H314" s="32"/>
    </row>
    <row r="315" ht="15.75" customHeight="1">
      <c r="C315" s="32"/>
      <c r="G315" s="32"/>
      <c r="H315" s="32"/>
    </row>
    <row r="316" ht="15.75" customHeight="1">
      <c r="C316" s="32"/>
      <c r="G316" s="32"/>
      <c r="H316" s="32"/>
    </row>
    <row r="317" ht="15.75" customHeight="1">
      <c r="C317" s="32"/>
      <c r="G317" s="32"/>
      <c r="H317" s="32"/>
    </row>
    <row r="318" ht="15.75" customHeight="1">
      <c r="C318" s="32"/>
      <c r="G318" s="32"/>
      <c r="H318" s="32"/>
    </row>
    <row r="319" ht="15.75" customHeight="1">
      <c r="C319" s="32"/>
      <c r="G319" s="32"/>
      <c r="H319" s="32"/>
    </row>
    <row r="320" ht="15.75" customHeight="1">
      <c r="C320" s="32"/>
      <c r="G320" s="32"/>
      <c r="H320" s="32"/>
    </row>
    <row r="321" ht="15.75" customHeight="1">
      <c r="C321" s="32"/>
      <c r="G321" s="32"/>
      <c r="H321" s="32"/>
    </row>
    <row r="322" ht="15.75" customHeight="1">
      <c r="C322" s="32"/>
      <c r="G322" s="32"/>
      <c r="H322" s="32"/>
    </row>
    <row r="323" ht="15.75" customHeight="1">
      <c r="C323" s="32"/>
      <c r="G323" s="32"/>
      <c r="H323" s="32"/>
    </row>
    <row r="324" ht="15.75" customHeight="1">
      <c r="C324" s="32"/>
      <c r="G324" s="32"/>
      <c r="H324" s="32"/>
    </row>
    <row r="325" ht="15.75" customHeight="1">
      <c r="C325" s="32"/>
      <c r="G325" s="32"/>
      <c r="H325" s="32"/>
    </row>
    <row r="326" ht="15.75" customHeight="1">
      <c r="C326" s="32"/>
      <c r="G326" s="32"/>
      <c r="H326" s="32"/>
    </row>
    <row r="327" ht="15.75" customHeight="1">
      <c r="C327" s="32"/>
      <c r="G327" s="32"/>
      <c r="H327" s="32"/>
    </row>
    <row r="328" ht="15.75" customHeight="1">
      <c r="C328" s="32"/>
      <c r="G328" s="32"/>
      <c r="H328" s="32"/>
    </row>
    <row r="329" ht="15.75" customHeight="1">
      <c r="C329" s="32"/>
      <c r="G329" s="32"/>
      <c r="H329" s="32"/>
    </row>
    <row r="330" ht="15.75" customHeight="1">
      <c r="C330" s="32"/>
      <c r="G330" s="32"/>
      <c r="H330" s="32"/>
    </row>
    <row r="331" ht="15.75" customHeight="1">
      <c r="C331" s="32"/>
      <c r="G331" s="32"/>
      <c r="H331" s="32"/>
    </row>
    <row r="332" ht="15.75" customHeight="1">
      <c r="C332" s="32"/>
      <c r="G332" s="32"/>
      <c r="H332" s="32"/>
    </row>
    <row r="333" ht="15.75" customHeight="1">
      <c r="C333" s="32"/>
      <c r="G333" s="32"/>
      <c r="H333" s="32"/>
    </row>
    <row r="334" ht="15.75" customHeight="1">
      <c r="C334" s="32"/>
      <c r="G334" s="32"/>
      <c r="H334" s="32"/>
    </row>
    <row r="335" ht="15.75" customHeight="1">
      <c r="C335" s="32"/>
      <c r="G335" s="32"/>
      <c r="H335" s="32"/>
    </row>
    <row r="336" ht="15.75" customHeight="1">
      <c r="C336" s="32"/>
      <c r="G336" s="32"/>
      <c r="H336" s="32"/>
    </row>
    <row r="337" ht="15.75" customHeight="1">
      <c r="C337" s="32"/>
      <c r="G337" s="32"/>
      <c r="H337" s="32"/>
    </row>
    <row r="338" ht="15.75" customHeight="1">
      <c r="C338" s="32"/>
      <c r="G338" s="32"/>
      <c r="H338" s="32"/>
    </row>
    <row r="339" ht="15.75" customHeight="1">
      <c r="C339" s="32"/>
      <c r="G339" s="32"/>
      <c r="H339" s="32"/>
    </row>
    <row r="340" ht="15.75" customHeight="1">
      <c r="C340" s="32"/>
      <c r="G340" s="32"/>
      <c r="H340" s="32"/>
    </row>
    <row r="341" ht="15.75" customHeight="1">
      <c r="C341" s="32"/>
      <c r="G341" s="32"/>
      <c r="H341" s="32"/>
    </row>
    <row r="342" ht="15.75" customHeight="1">
      <c r="C342" s="32"/>
      <c r="G342" s="32"/>
      <c r="H342" s="32"/>
    </row>
    <row r="343" ht="15.75" customHeight="1">
      <c r="C343" s="32"/>
      <c r="G343" s="32"/>
      <c r="H343" s="32"/>
    </row>
    <row r="344" ht="15.75" customHeight="1">
      <c r="C344" s="32"/>
      <c r="G344" s="32"/>
      <c r="H344" s="32"/>
    </row>
    <row r="345" ht="15.75" customHeight="1">
      <c r="C345" s="32"/>
      <c r="G345" s="32"/>
      <c r="H345" s="32"/>
    </row>
    <row r="346" ht="15.75" customHeight="1">
      <c r="C346" s="32"/>
      <c r="G346" s="32"/>
      <c r="H346" s="32"/>
    </row>
    <row r="347" ht="15.75" customHeight="1">
      <c r="C347" s="32"/>
      <c r="G347" s="32"/>
      <c r="H347" s="32"/>
    </row>
    <row r="348" ht="15.75" customHeight="1">
      <c r="C348" s="32"/>
      <c r="G348" s="32"/>
      <c r="H348" s="32"/>
    </row>
    <row r="349" ht="15.75" customHeight="1">
      <c r="C349" s="32"/>
      <c r="G349" s="32"/>
      <c r="H349" s="32"/>
    </row>
    <row r="350" ht="15.75" customHeight="1">
      <c r="C350" s="32"/>
      <c r="G350" s="32"/>
      <c r="H350" s="32"/>
    </row>
    <row r="351" ht="15.75" customHeight="1">
      <c r="C351" s="32"/>
      <c r="G351" s="32"/>
      <c r="H351" s="32"/>
    </row>
    <row r="352" ht="15.75" customHeight="1">
      <c r="C352" s="32"/>
      <c r="G352" s="32"/>
      <c r="H352" s="32"/>
    </row>
    <row r="353" ht="15.75" customHeight="1">
      <c r="C353" s="32"/>
      <c r="G353" s="32"/>
      <c r="H353" s="32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I3"/>
  </mergeCells>
  <dataValidations>
    <dataValidation type="list" allowBlank="1" showErrorMessage="1" sqref="C5:C353">
      <formula1>val_TipoMov</formula1>
    </dataValidation>
    <dataValidation type="list" allowBlank="1" showErrorMessage="1" sqref="H5:H353">
      <formula1>val_Regional</formula1>
    </dataValidation>
    <dataValidation type="list" allowBlank="1" showErrorMessage="1" sqref="G5:G353">
      <formula1>val_Supervisor</formula1>
    </dataValidation>
  </dataValidations>
  <printOptions/>
  <pageMargins bottom="0.6" footer="0.0" header="0.0" left="0.5" right="0.5" top="0.6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18.0"/>
    <col customWidth="1" min="5" max="6" width="20.0"/>
    <col customWidth="1" min="7" max="7" width="34.0"/>
    <col customWidth="1" min="8" max="8" width="8.86"/>
    <col customWidth="1" min="9" max="9" width="70.0"/>
    <col customWidth="1" min="10" max="26" width="8.86"/>
  </cols>
  <sheetData>
    <row r="1" ht="30.0" customHeight="1">
      <c r="A1" s="1" t="s">
        <v>514</v>
      </c>
      <c r="B1" s="2"/>
      <c r="C1" s="2"/>
      <c r="D1" s="2"/>
      <c r="E1" s="2"/>
      <c r="F1" s="2"/>
      <c r="G1" s="3"/>
    </row>
    <row r="2">
      <c r="A2" s="4" t="s">
        <v>23</v>
      </c>
      <c r="B2" s="5"/>
      <c r="C2" s="5"/>
      <c r="D2" s="5"/>
      <c r="E2" s="5"/>
      <c r="F2" s="5"/>
      <c r="G2" s="6"/>
    </row>
    <row r="3" ht="45.75" customHeight="1">
      <c r="A3" s="7" t="s">
        <v>515</v>
      </c>
      <c r="B3" s="5"/>
      <c r="C3" s="5"/>
      <c r="D3" s="5"/>
      <c r="E3" s="5"/>
      <c r="F3" s="5"/>
      <c r="G3" s="6"/>
    </row>
    <row r="4">
      <c r="A4" s="25" t="s">
        <v>516</v>
      </c>
      <c r="B4" s="25" t="s">
        <v>517</v>
      </c>
      <c r="C4" s="25" t="s">
        <v>518</v>
      </c>
      <c r="D4" s="25" t="s">
        <v>519</v>
      </c>
      <c r="E4" s="25" t="s">
        <v>520</v>
      </c>
      <c r="F4" s="25" t="s">
        <v>521</v>
      </c>
      <c r="G4" s="25" t="s">
        <v>522</v>
      </c>
      <c r="I4" s="15" t="s">
        <v>523</v>
      </c>
    </row>
    <row r="5">
      <c r="A5" s="26" t="s">
        <v>95</v>
      </c>
      <c r="B5" s="26" t="s">
        <v>396</v>
      </c>
      <c r="C5" s="26" t="s">
        <v>397</v>
      </c>
      <c r="D5" s="26" t="s">
        <v>92</v>
      </c>
      <c r="E5" s="26" t="s">
        <v>524</v>
      </c>
      <c r="F5" s="26" t="s">
        <v>257</v>
      </c>
      <c r="G5" s="26" t="s">
        <v>166</v>
      </c>
      <c r="I5" s="10" t="s">
        <v>525</v>
      </c>
    </row>
    <row r="6">
      <c r="A6" s="26" t="s">
        <v>123</v>
      </c>
      <c r="B6" s="26" t="s">
        <v>402</v>
      </c>
      <c r="C6" s="26" t="s">
        <v>395</v>
      </c>
      <c r="D6" s="26" t="s">
        <v>104</v>
      </c>
      <c r="E6" s="26" t="s">
        <v>458</v>
      </c>
      <c r="F6" s="26" t="s">
        <v>91</v>
      </c>
      <c r="G6" s="26" t="s">
        <v>94</v>
      </c>
      <c r="I6" s="10" t="s">
        <v>526</v>
      </c>
    </row>
    <row r="7">
      <c r="A7" s="26" t="s">
        <v>136</v>
      </c>
      <c r="B7" s="26" t="s">
        <v>96</v>
      </c>
      <c r="C7" s="26" t="s">
        <v>96</v>
      </c>
      <c r="D7" s="26" t="s">
        <v>29</v>
      </c>
      <c r="E7" s="26" t="s">
        <v>527</v>
      </c>
      <c r="F7" s="26" t="s">
        <v>96</v>
      </c>
      <c r="G7" s="26" t="s">
        <v>305</v>
      </c>
      <c r="I7" s="10" t="s">
        <v>528</v>
      </c>
    </row>
    <row r="8">
      <c r="A8" s="26" t="s">
        <v>198</v>
      </c>
      <c r="B8" s="26" t="s">
        <v>96</v>
      </c>
      <c r="C8" s="26" t="s">
        <v>96</v>
      </c>
      <c r="D8" s="26" t="s">
        <v>223</v>
      </c>
      <c r="E8" s="26" t="s">
        <v>510</v>
      </c>
      <c r="F8" s="26" t="s">
        <v>96</v>
      </c>
      <c r="G8" s="26" t="s">
        <v>133</v>
      </c>
      <c r="I8" s="10" t="s">
        <v>529</v>
      </c>
    </row>
    <row r="9">
      <c r="A9" s="26" t="s">
        <v>116</v>
      </c>
      <c r="B9" s="26" t="s">
        <v>96</v>
      </c>
      <c r="C9" s="26" t="s">
        <v>96</v>
      </c>
      <c r="D9" s="26" t="s">
        <v>96</v>
      </c>
      <c r="E9" s="26" t="s">
        <v>505</v>
      </c>
      <c r="F9" s="26" t="s">
        <v>96</v>
      </c>
      <c r="G9" s="26" t="s">
        <v>122</v>
      </c>
      <c r="I9" s="10" t="s">
        <v>530</v>
      </c>
    </row>
    <row r="10">
      <c r="A10" s="26" t="s">
        <v>280</v>
      </c>
      <c r="B10" s="26" t="s">
        <v>96</v>
      </c>
      <c r="C10" s="26" t="s">
        <v>96</v>
      </c>
      <c r="D10" s="26" t="s">
        <v>96</v>
      </c>
      <c r="E10" s="26" t="s">
        <v>531</v>
      </c>
      <c r="F10" s="26" t="s">
        <v>96</v>
      </c>
      <c r="G10" s="26" t="s">
        <v>128</v>
      </c>
      <c r="I10" s="10" t="s">
        <v>532</v>
      </c>
    </row>
    <row r="11">
      <c r="A11" s="26" t="s">
        <v>96</v>
      </c>
      <c r="B11" s="26" t="s">
        <v>96</v>
      </c>
      <c r="C11" s="26" t="s">
        <v>96</v>
      </c>
      <c r="D11" s="26" t="s">
        <v>96</v>
      </c>
      <c r="E11" s="26" t="s">
        <v>533</v>
      </c>
      <c r="F11" s="26" t="s">
        <v>96</v>
      </c>
      <c r="G11" s="26" t="s">
        <v>421</v>
      </c>
      <c r="I11" s="10" t="s">
        <v>534</v>
      </c>
    </row>
    <row r="12">
      <c r="A12" s="26" t="s">
        <v>96</v>
      </c>
      <c r="B12" s="26" t="s">
        <v>96</v>
      </c>
      <c r="C12" s="26" t="s">
        <v>96</v>
      </c>
      <c r="D12" s="26" t="s">
        <v>96</v>
      </c>
      <c r="E12" s="26" t="s">
        <v>535</v>
      </c>
      <c r="F12" s="26" t="s">
        <v>96</v>
      </c>
      <c r="G12" s="26" t="s">
        <v>153</v>
      </c>
    </row>
    <row r="13">
      <c r="A13" s="26" t="s">
        <v>96</v>
      </c>
      <c r="B13" s="26" t="s">
        <v>96</v>
      </c>
      <c r="C13" s="26" t="s">
        <v>96</v>
      </c>
      <c r="D13" s="26" t="s">
        <v>96</v>
      </c>
      <c r="E13" s="26" t="s">
        <v>536</v>
      </c>
      <c r="F13" s="26" t="s">
        <v>96</v>
      </c>
      <c r="G13" s="26" t="s">
        <v>294</v>
      </c>
    </row>
    <row r="14">
      <c r="A14" s="26" t="s">
        <v>96</v>
      </c>
      <c r="B14" s="26" t="s">
        <v>96</v>
      </c>
      <c r="C14" s="26" t="s">
        <v>96</v>
      </c>
      <c r="D14" s="26" t="s">
        <v>96</v>
      </c>
      <c r="E14" s="26" t="s">
        <v>96</v>
      </c>
      <c r="F14" s="26" t="s">
        <v>96</v>
      </c>
      <c r="G14" s="26" t="s">
        <v>135</v>
      </c>
    </row>
    <row r="15">
      <c r="A15" s="26" t="s">
        <v>96</v>
      </c>
      <c r="B15" s="26" t="s">
        <v>96</v>
      </c>
      <c r="C15" s="26" t="s">
        <v>96</v>
      </c>
      <c r="D15" s="26" t="s">
        <v>96</v>
      </c>
      <c r="E15" s="26" t="s">
        <v>96</v>
      </c>
      <c r="F15" s="26" t="s">
        <v>96</v>
      </c>
      <c r="G15" s="26" t="s">
        <v>69</v>
      </c>
    </row>
    <row r="16">
      <c r="A16" s="26" t="s">
        <v>96</v>
      </c>
      <c r="B16" s="26" t="s">
        <v>96</v>
      </c>
      <c r="C16" s="26" t="s">
        <v>96</v>
      </c>
      <c r="D16" s="26" t="s">
        <v>96</v>
      </c>
      <c r="E16" s="26" t="s">
        <v>96</v>
      </c>
      <c r="F16" s="26" t="s">
        <v>96</v>
      </c>
      <c r="G16" s="26" t="s">
        <v>197</v>
      </c>
    </row>
    <row r="17">
      <c r="A17" s="26" t="s">
        <v>96</v>
      </c>
      <c r="B17" s="26" t="s">
        <v>96</v>
      </c>
      <c r="C17" s="26" t="s">
        <v>96</v>
      </c>
      <c r="D17" s="26" t="s">
        <v>96</v>
      </c>
      <c r="E17" s="26" t="s">
        <v>96</v>
      </c>
      <c r="F17" s="26" t="s">
        <v>96</v>
      </c>
      <c r="G17" s="26" t="s">
        <v>260</v>
      </c>
    </row>
    <row r="18">
      <c r="A18" s="26" t="s">
        <v>96</v>
      </c>
      <c r="B18" s="26" t="s">
        <v>96</v>
      </c>
      <c r="C18" s="26" t="s">
        <v>96</v>
      </c>
      <c r="D18" s="26" t="s">
        <v>96</v>
      </c>
      <c r="E18" s="26" t="s">
        <v>96</v>
      </c>
      <c r="F18" s="26" t="s">
        <v>96</v>
      </c>
      <c r="G18" s="26" t="s">
        <v>217</v>
      </c>
    </row>
    <row r="19">
      <c r="A19" s="26" t="s">
        <v>96</v>
      </c>
      <c r="B19" s="26" t="s">
        <v>96</v>
      </c>
      <c r="C19" s="26" t="s">
        <v>96</v>
      </c>
      <c r="D19" s="26" t="s">
        <v>96</v>
      </c>
      <c r="E19" s="26" t="s">
        <v>96</v>
      </c>
      <c r="F19" s="26" t="s">
        <v>96</v>
      </c>
      <c r="G19" s="26" t="s">
        <v>115</v>
      </c>
    </row>
    <row r="20">
      <c r="A20" s="26" t="s">
        <v>96</v>
      </c>
      <c r="B20" s="26" t="s">
        <v>96</v>
      </c>
      <c r="C20" s="26" t="s">
        <v>96</v>
      </c>
      <c r="D20" s="26" t="s">
        <v>96</v>
      </c>
      <c r="E20" s="26" t="s">
        <v>96</v>
      </c>
      <c r="F20" s="26" t="s">
        <v>96</v>
      </c>
      <c r="G20" s="26" t="s">
        <v>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0.6" footer="0.0" header="0.0" left="0.5" right="0.5" top="0.6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2.0"/>
    <col customWidth="1" min="3" max="3" width="4.0"/>
    <col customWidth="1" min="4" max="4" width="16.0"/>
    <col customWidth="1" min="5" max="5" width="12.0"/>
    <col customWidth="1" min="6" max="6" width="4.0"/>
    <col customWidth="1" min="7" max="7" width="32.0"/>
    <col customWidth="1" min="8" max="8" width="12.0"/>
    <col customWidth="1" min="9" max="9" width="4.0"/>
    <col customWidth="1" min="10" max="10" width="10.0"/>
    <col customWidth="1" min="11" max="13" width="12.0"/>
    <col customWidth="1" min="14" max="14" width="4.0"/>
    <col customWidth="1" min="15" max="16" width="12.0"/>
    <col customWidth="1" min="17" max="26" width="8.86"/>
  </cols>
  <sheetData>
    <row r="1">
      <c r="A1" s="38" t="s">
        <v>537</v>
      </c>
    </row>
    <row r="3">
      <c r="A3" s="15" t="s">
        <v>40</v>
      </c>
      <c r="B3" s="15" t="s">
        <v>39</v>
      </c>
      <c r="D3" s="15" t="s">
        <v>38</v>
      </c>
      <c r="E3" s="15" t="s">
        <v>39</v>
      </c>
      <c r="G3" s="15" t="s">
        <v>47</v>
      </c>
      <c r="H3" s="15" t="s">
        <v>18</v>
      </c>
      <c r="J3" s="15" t="s">
        <v>538</v>
      </c>
      <c r="K3" s="15" t="s">
        <v>539</v>
      </c>
      <c r="L3" s="15" t="s">
        <v>540</v>
      </c>
      <c r="M3" s="15" t="s">
        <v>20</v>
      </c>
      <c r="O3" s="15" t="s">
        <v>541</v>
      </c>
      <c r="P3" s="15" t="s">
        <v>542</v>
      </c>
      <c r="U3" s="15" t="s">
        <v>543</v>
      </c>
      <c r="V3" s="15" t="s">
        <v>544</v>
      </c>
      <c r="W3" s="15" t="s">
        <v>545</v>
      </c>
      <c r="X3" s="15" t="s">
        <v>546</v>
      </c>
    </row>
    <row r="4">
      <c r="A4" s="10" t="s">
        <v>92</v>
      </c>
      <c r="B4" s="12">
        <f>COUNTIF(INVENTARIO_GENERAL!$C$5:$C$181,A4)</f>
        <v>73</v>
      </c>
      <c r="D4" s="10" t="s">
        <v>95</v>
      </c>
      <c r="E4" s="12">
        <f>COUNTIF(INVENTARIO_GENERAL!$G$5:$G$181,D4)</f>
        <v>30</v>
      </c>
      <c r="G4" s="10" t="s">
        <v>153</v>
      </c>
      <c r="H4" s="12">
        <f>COUNTIFS(INVENTARIO_GENERAL!$F$5:$F$181,G4,INVENTARIO_GENERAL!$C$5:$C$181,"ASIGNADO")</f>
        <v>10</v>
      </c>
      <c r="J4" s="12" t="s">
        <v>547</v>
      </c>
      <c r="K4" s="12">
        <f>COUNTIFS(MOVIMIENTOS!$B$5:$B$53,"&gt;="&amp;O4,MOVIMIENTOS!$B$5:$B$53,"&lt;="&amp;P4)</f>
        <v>6</v>
      </c>
      <c r="L4" s="12">
        <f>COUNTIFS(MOVIMIENTOS!$B$5:$B$53,"&gt;="&amp;O4,MOVIMIENTOS!$B$5:$B$53,"&lt;="&amp;P4,MOVIMIENTOS!$C$5:$C$53,"ENTREGA INICIAL")+COUNTIFS(MOVIMIENTOS!$B$5:$B$53,"&gt;="&amp;O4,MOVIMIENTOS!$B$5:$B$53,"&lt;="&amp;P4,MOVIMIENTOS!$C$5:$C$53,"ASIGNACION")</f>
        <v>6</v>
      </c>
      <c r="M4" s="12">
        <f>COUNTIFS(MOVIMIENTOS!$B$5:$B$53,"&gt;="&amp;O4,MOVIMIENTOS!$B$5:$B$53,"&lt;="&amp;P4,MOVIMIENTOS!$C$5:$C$53,"PERDIDA")</f>
        <v>0</v>
      </c>
      <c r="O4" s="12">
        <v>46143.0</v>
      </c>
      <c r="P4" s="12">
        <v>46173.0</v>
      </c>
      <c r="U4" s="10" t="s">
        <v>50</v>
      </c>
      <c r="V4" s="10" t="s">
        <v>50</v>
      </c>
      <c r="W4" s="10" t="s">
        <v>50</v>
      </c>
      <c r="X4" s="10" t="s">
        <v>50</v>
      </c>
    </row>
    <row r="5">
      <c r="A5" s="10" t="s">
        <v>104</v>
      </c>
      <c r="B5" s="12">
        <f>COUNTIF(INVENTARIO_GENERAL!$C$5:$C$181,A5)</f>
        <v>68</v>
      </c>
      <c r="D5" s="10" t="s">
        <v>123</v>
      </c>
      <c r="E5" s="12">
        <f>COUNTIF(INVENTARIO_GENERAL!$G$5:$G$181,D5)</f>
        <v>39</v>
      </c>
      <c r="G5" s="10" t="s">
        <v>135</v>
      </c>
      <c r="H5" s="12">
        <f>COUNTIFS(INVENTARIO_GENERAL!$F$5:$F$181,G5,INVENTARIO_GENERAL!$C$5:$C$181,"ASIGNADO")</f>
        <v>10</v>
      </c>
      <c r="J5" s="12" t="s">
        <v>548</v>
      </c>
      <c r="K5" s="12">
        <f>COUNTIFS(MOVIMIENTOS!$B$5:$B$53,"&gt;="&amp;O5,MOVIMIENTOS!$B$5:$B$53,"&lt;="&amp;P5)</f>
        <v>43</v>
      </c>
      <c r="L5" s="12">
        <f>COUNTIFS(MOVIMIENTOS!$B$5:$B$53,"&gt;="&amp;O5,MOVIMIENTOS!$B$5:$B$53,"&lt;="&amp;P5,MOVIMIENTOS!$C$5:$C$53,"ENTREGA INICIAL")+COUNTIFS(MOVIMIENTOS!$B$5:$B$53,"&gt;="&amp;O5,MOVIMIENTOS!$B$5:$B$53,"&lt;="&amp;P5,MOVIMIENTOS!$C$5:$C$53,"ASIGNACION")</f>
        <v>39</v>
      </c>
      <c r="M5" s="12">
        <f>COUNTIFS(MOVIMIENTOS!$B$5:$B$53,"&gt;="&amp;O5,MOVIMIENTOS!$B$5:$B$53,"&lt;="&amp;P5,MOVIMIENTOS!$C$5:$C$53,"PERDIDA")</f>
        <v>2</v>
      </c>
      <c r="O5" s="12">
        <v>46174.0</v>
      </c>
      <c r="P5" s="12">
        <v>46203.0</v>
      </c>
      <c r="U5" s="10" t="s">
        <v>95</v>
      </c>
      <c r="V5" s="10" t="s">
        <v>166</v>
      </c>
      <c r="W5" s="10" t="s">
        <v>92</v>
      </c>
      <c r="X5" s="10" t="s">
        <v>547</v>
      </c>
    </row>
    <row r="6">
      <c r="A6" s="10" t="s">
        <v>29</v>
      </c>
      <c r="B6" s="12">
        <f>COUNTIF(INVENTARIO_GENERAL!$C$5:$C$181,A6)</f>
        <v>35</v>
      </c>
      <c r="D6" s="10" t="s">
        <v>136</v>
      </c>
      <c r="E6" s="12">
        <f>COUNTIF(INVENTARIO_GENERAL!$G$5:$G$181,D6)</f>
        <v>10</v>
      </c>
      <c r="G6" s="10" t="s">
        <v>166</v>
      </c>
      <c r="H6" s="12">
        <f>COUNTIFS(INVENTARIO_GENERAL!$F$5:$F$181,G6,INVENTARIO_GENERAL!$C$5:$C$181,"ASIGNADO")</f>
        <v>9</v>
      </c>
      <c r="J6" s="12" t="s">
        <v>549</v>
      </c>
      <c r="K6" s="12">
        <f>COUNTIFS(MOVIMIENTOS!$B$5:$B$53,"&gt;="&amp;O6,MOVIMIENTOS!$B$5:$B$53,"&lt;="&amp;P6)</f>
        <v>0</v>
      </c>
      <c r="L6" s="12">
        <f>COUNTIFS(MOVIMIENTOS!$B$5:$B$53,"&gt;="&amp;O6,MOVIMIENTOS!$B$5:$B$53,"&lt;="&amp;P6,MOVIMIENTOS!$C$5:$C$53,"ENTREGA INICIAL")+COUNTIFS(MOVIMIENTOS!$B$5:$B$53,"&gt;="&amp;O6,MOVIMIENTOS!$B$5:$B$53,"&lt;="&amp;P6,MOVIMIENTOS!$C$5:$C$53,"ASIGNACION")</f>
        <v>0</v>
      </c>
      <c r="M6" s="12">
        <f>COUNTIFS(MOVIMIENTOS!$B$5:$B$53,"&gt;="&amp;O6,MOVIMIENTOS!$B$5:$B$53,"&lt;="&amp;P6,MOVIMIENTOS!$C$5:$C$53,"PERDIDA")</f>
        <v>0</v>
      </c>
      <c r="O6" s="12">
        <v>46204.0</v>
      </c>
      <c r="P6" s="12">
        <v>46234.0</v>
      </c>
      <c r="U6" s="10" t="s">
        <v>123</v>
      </c>
      <c r="V6" s="10" t="s">
        <v>94</v>
      </c>
      <c r="W6" s="10" t="s">
        <v>104</v>
      </c>
      <c r="X6" s="10" t="s">
        <v>548</v>
      </c>
    </row>
    <row r="7">
      <c r="A7" s="10" t="s">
        <v>223</v>
      </c>
      <c r="B7" s="12">
        <f>COUNTIF(INVENTARIO_GENERAL!$C$5:$C$181,A7)</f>
        <v>1</v>
      </c>
      <c r="D7" s="10" t="s">
        <v>198</v>
      </c>
      <c r="E7" s="12">
        <f>COUNTIF(INVENTARIO_GENERAL!$G$5:$G$181,D7)</f>
        <v>85</v>
      </c>
      <c r="G7" s="10" t="s">
        <v>94</v>
      </c>
      <c r="H7" s="12">
        <f>COUNTIFS(INVENTARIO_GENERAL!$F$5:$F$181,G7,INVENTARIO_GENERAL!$C$5:$C$181,"ASIGNADO")</f>
        <v>9</v>
      </c>
      <c r="J7" s="12" t="s">
        <v>550</v>
      </c>
      <c r="K7" s="12">
        <f>COUNTIFS(MOVIMIENTOS!$B$5:$B$53,"&gt;="&amp;O7,MOVIMIENTOS!$B$5:$B$53,"&lt;="&amp;P7)</f>
        <v>0</v>
      </c>
      <c r="L7" s="12">
        <f>COUNTIFS(MOVIMIENTOS!$B$5:$B$53,"&gt;="&amp;O7,MOVIMIENTOS!$B$5:$B$53,"&lt;="&amp;P7,MOVIMIENTOS!$C$5:$C$53,"ENTREGA INICIAL")+COUNTIFS(MOVIMIENTOS!$B$5:$B$53,"&gt;="&amp;O7,MOVIMIENTOS!$B$5:$B$53,"&lt;="&amp;P7,MOVIMIENTOS!$C$5:$C$53,"ASIGNACION")</f>
        <v>0</v>
      </c>
      <c r="M7" s="12">
        <f>COUNTIFS(MOVIMIENTOS!$B$5:$B$53,"&gt;="&amp;O7,MOVIMIENTOS!$B$5:$B$53,"&lt;="&amp;P7,MOVIMIENTOS!$C$5:$C$53,"PERDIDA")</f>
        <v>0</v>
      </c>
      <c r="O7" s="12">
        <v>46235.0</v>
      </c>
      <c r="P7" s="12">
        <v>46265.0</v>
      </c>
      <c r="U7" s="10" t="s">
        <v>136</v>
      </c>
      <c r="V7" s="10" t="s">
        <v>305</v>
      </c>
      <c r="W7" s="10" t="s">
        <v>29</v>
      </c>
      <c r="X7" s="10" t="s">
        <v>549</v>
      </c>
    </row>
    <row r="8">
      <c r="D8" s="10" t="s">
        <v>116</v>
      </c>
      <c r="E8" s="12">
        <f>COUNTIF(INVENTARIO_GENERAL!$G$5:$G$181,D8)</f>
        <v>6</v>
      </c>
      <c r="G8" s="10" t="s">
        <v>133</v>
      </c>
      <c r="H8" s="12">
        <f>COUNTIFS(INVENTARIO_GENERAL!$F$5:$F$181,G8,INVENTARIO_GENERAL!$C$5:$C$181,"ASIGNADO")</f>
        <v>6</v>
      </c>
      <c r="J8" s="12" t="s">
        <v>551</v>
      </c>
      <c r="K8" s="12">
        <f>COUNTIFS(MOVIMIENTOS!$B$5:$B$53,"&gt;="&amp;O8,MOVIMIENTOS!$B$5:$B$53,"&lt;="&amp;P8)</f>
        <v>0</v>
      </c>
      <c r="L8" s="12">
        <f>COUNTIFS(MOVIMIENTOS!$B$5:$B$53,"&gt;="&amp;O8,MOVIMIENTOS!$B$5:$B$53,"&lt;="&amp;P8,MOVIMIENTOS!$C$5:$C$53,"ENTREGA INICIAL")+COUNTIFS(MOVIMIENTOS!$B$5:$B$53,"&gt;="&amp;O8,MOVIMIENTOS!$B$5:$B$53,"&lt;="&amp;P8,MOVIMIENTOS!$C$5:$C$53,"ASIGNACION")</f>
        <v>0</v>
      </c>
      <c r="M8" s="12">
        <f>COUNTIFS(MOVIMIENTOS!$B$5:$B$53,"&gt;="&amp;O8,MOVIMIENTOS!$B$5:$B$53,"&lt;="&amp;P8,MOVIMIENTOS!$C$5:$C$53,"PERDIDA")</f>
        <v>0</v>
      </c>
      <c r="O8" s="12">
        <v>46266.0</v>
      </c>
      <c r="P8" s="12">
        <v>46295.0</v>
      </c>
      <c r="U8" s="10" t="s">
        <v>198</v>
      </c>
      <c r="V8" s="10" t="s">
        <v>133</v>
      </c>
      <c r="W8" s="10" t="s">
        <v>223</v>
      </c>
      <c r="X8" s="10" t="s">
        <v>550</v>
      </c>
    </row>
    <row r="9">
      <c r="D9" s="10" t="s">
        <v>280</v>
      </c>
      <c r="E9" s="12">
        <f>COUNTIF(INVENTARIO_GENERAL!$G$5:$G$181,D9)</f>
        <v>7</v>
      </c>
      <c r="G9" s="10" t="s">
        <v>128</v>
      </c>
      <c r="H9" s="12">
        <f>COUNTIFS(INVENTARIO_GENERAL!$F$5:$F$181,G9,INVENTARIO_GENERAL!$C$5:$C$181,"ASIGNADO")</f>
        <v>7</v>
      </c>
      <c r="J9" s="12" t="s">
        <v>552</v>
      </c>
      <c r="K9" s="12">
        <f>COUNTIFS(MOVIMIENTOS!$B$5:$B$53,"&gt;="&amp;O9,MOVIMIENTOS!$B$5:$B$53,"&lt;="&amp;P9)</f>
        <v>0</v>
      </c>
      <c r="L9" s="12">
        <f>COUNTIFS(MOVIMIENTOS!$B$5:$B$53,"&gt;="&amp;O9,MOVIMIENTOS!$B$5:$B$53,"&lt;="&amp;P9,MOVIMIENTOS!$C$5:$C$53,"ENTREGA INICIAL")+COUNTIFS(MOVIMIENTOS!$B$5:$B$53,"&gt;="&amp;O9,MOVIMIENTOS!$B$5:$B$53,"&lt;="&amp;P9,MOVIMIENTOS!$C$5:$C$53,"ASIGNACION")</f>
        <v>0</v>
      </c>
      <c r="M9" s="12">
        <f>COUNTIFS(MOVIMIENTOS!$B$5:$B$53,"&gt;="&amp;O9,MOVIMIENTOS!$B$5:$B$53,"&lt;="&amp;P9,MOVIMIENTOS!$C$5:$C$53,"PERDIDA")</f>
        <v>0</v>
      </c>
      <c r="O9" s="12">
        <v>46296.0</v>
      </c>
      <c r="P9" s="12">
        <v>46326.0</v>
      </c>
      <c r="U9" s="10" t="s">
        <v>116</v>
      </c>
      <c r="V9" s="10" t="s">
        <v>122</v>
      </c>
      <c r="X9" s="10" t="s">
        <v>551</v>
      </c>
    </row>
    <row r="10">
      <c r="G10" s="10" t="s">
        <v>197</v>
      </c>
      <c r="H10" s="12">
        <f>COUNTIFS(INVENTARIO_GENERAL!$F$5:$F$181,G10,INVENTARIO_GENERAL!$C$5:$C$181,"ASIGNADO")</f>
        <v>6</v>
      </c>
      <c r="J10" s="12" t="s">
        <v>553</v>
      </c>
      <c r="K10" s="12">
        <f>COUNTIFS(MOVIMIENTOS!$B$5:$B$53,"&gt;="&amp;O10,MOVIMIENTOS!$B$5:$B$53,"&lt;="&amp;P10)</f>
        <v>0</v>
      </c>
      <c r="L10" s="12">
        <f>COUNTIFS(MOVIMIENTOS!$B$5:$B$53,"&gt;="&amp;O10,MOVIMIENTOS!$B$5:$B$53,"&lt;="&amp;P10,MOVIMIENTOS!$C$5:$C$53,"ENTREGA INICIAL")+COUNTIFS(MOVIMIENTOS!$B$5:$B$53,"&gt;="&amp;O10,MOVIMIENTOS!$B$5:$B$53,"&lt;="&amp;P10,MOVIMIENTOS!$C$5:$C$53,"ASIGNACION")</f>
        <v>0</v>
      </c>
      <c r="M10" s="12">
        <f>COUNTIFS(MOVIMIENTOS!$B$5:$B$53,"&gt;="&amp;O10,MOVIMIENTOS!$B$5:$B$53,"&lt;="&amp;P10,MOVIMIENTOS!$C$5:$C$53,"PERDIDA")</f>
        <v>0</v>
      </c>
      <c r="O10" s="12">
        <v>46327.0</v>
      </c>
      <c r="P10" s="12">
        <v>46356.0</v>
      </c>
      <c r="U10" s="10" t="s">
        <v>280</v>
      </c>
      <c r="V10" s="10" t="s">
        <v>128</v>
      </c>
      <c r="X10" s="10" t="s">
        <v>552</v>
      </c>
    </row>
    <row r="11">
      <c r="G11" s="10" t="s">
        <v>115</v>
      </c>
      <c r="H11" s="12">
        <f>COUNTIFS(INVENTARIO_GENERAL!$F$5:$F$181,G11,INVENTARIO_GENERAL!$C$5:$C$181,"ASIGNADO")</f>
        <v>6</v>
      </c>
      <c r="J11" s="12" t="s">
        <v>554</v>
      </c>
      <c r="K11" s="12">
        <f>COUNTIFS(MOVIMIENTOS!$B$5:$B$53,"&gt;="&amp;O11,MOVIMIENTOS!$B$5:$B$53,"&lt;="&amp;P11)</f>
        <v>0</v>
      </c>
      <c r="L11" s="12">
        <f>COUNTIFS(MOVIMIENTOS!$B$5:$B$53,"&gt;="&amp;O11,MOVIMIENTOS!$B$5:$B$53,"&lt;="&amp;P11,MOVIMIENTOS!$C$5:$C$53,"ENTREGA INICIAL")+COUNTIFS(MOVIMIENTOS!$B$5:$B$53,"&gt;="&amp;O11,MOVIMIENTOS!$B$5:$B$53,"&lt;="&amp;P11,MOVIMIENTOS!$C$5:$C$53,"ASIGNACION")</f>
        <v>0</v>
      </c>
      <c r="M11" s="12">
        <f>COUNTIFS(MOVIMIENTOS!$B$5:$B$53,"&gt;="&amp;O11,MOVIMIENTOS!$B$5:$B$53,"&lt;="&amp;P11,MOVIMIENTOS!$C$5:$C$53,"PERDIDA")</f>
        <v>0</v>
      </c>
      <c r="O11" s="12">
        <v>46357.0</v>
      </c>
      <c r="P11" s="12">
        <v>46387.0</v>
      </c>
      <c r="V11" s="10" t="s">
        <v>421</v>
      </c>
      <c r="X11" s="10" t="s">
        <v>553</v>
      </c>
    </row>
    <row r="12">
      <c r="G12" s="10" t="s">
        <v>122</v>
      </c>
      <c r="H12" s="12">
        <f>COUNTIFS(INVENTARIO_GENERAL!$F$5:$F$181,G12,INVENTARIO_GENERAL!$C$5:$C$181,"ASIGNADO")</f>
        <v>5</v>
      </c>
      <c r="J12" s="12" t="s">
        <v>555</v>
      </c>
      <c r="K12" s="12">
        <f>COUNTIFS(MOVIMIENTOS!$B$5:$B$53,"&gt;="&amp;O12,MOVIMIENTOS!$B$5:$B$53,"&lt;="&amp;P12)</f>
        <v>0</v>
      </c>
      <c r="L12" s="12">
        <f>COUNTIFS(MOVIMIENTOS!$B$5:$B$53,"&gt;="&amp;O12,MOVIMIENTOS!$B$5:$B$53,"&lt;="&amp;P12,MOVIMIENTOS!$C$5:$C$53,"ENTREGA INICIAL")+COUNTIFS(MOVIMIENTOS!$B$5:$B$53,"&gt;="&amp;O12,MOVIMIENTOS!$B$5:$B$53,"&lt;="&amp;P12,MOVIMIENTOS!$C$5:$C$53,"ASIGNACION")</f>
        <v>0</v>
      </c>
      <c r="M12" s="12">
        <f>COUNTIFS(MOVIMIENTOS!$B$5:$B$53,"&gt;="&amp;O12,MOVIMIENTOS!$B$5:$B$53,"&lt;="&amp;P12,MOVIMIENTOS!$C$5:$C$53,"PERDIDA")</f>
        <v>0</v>
      </c>
      <c r="O12" s="12">
        <v>46388.0</v>
      </c>
      <c r="P12" s="12">
        <v>46418.0</v>
      </c>
      <c r="V12" s="10" t="s">
        <v>153</v>
      </c>
      <c r="X12" s="10" t="s">
        <v>554</v>
      </c>
    </row>
    <row r="13">
      <c r="G13" s="10" t="s">
        <v>217</v>
      </c>
      <c r="H13" s="12">
        <f>COUNTIFS(INVENTARIO_GENERAL!$F$5:$F$181,G13,INVENTARIO_GENERAL!$C$5:$C$181,"ASIGNADO")</f>
        <v>3</v>
      </c>
      <c r="J13" s="12" t="s">
        <v>556</v>
      </c>
      <c r="K13" s="12">
        <f>COUNTIFS(MOVIMIENTOS!$B$5:$B$53,"&gt;="&amp;O13,MOVIMIENTOS!$B$5:$B$53,"&lt;="&amp;P13)</f>
        <v>0</v>
      </c>
      <c r="L13" s="12">
        <f>COUNTIFS(MOVIMIENTOS!$B$5:$B$53,"&gt;="&amp;O13,MOVIMIENTOS!$B$5:$B$53,"&lt;="&amp;P13,MOVIMIENTOS!$C$5:$C$53,"ENTREGA INICIAL")+COUNTIFS(MOVIMIENTOS!$B$5:$B$53,"&gt;="&amp;O13,MOVIMIENTOS!$B$5:$B$53,"&lt;="&amp;P13,MOVIMIENTOS!$C$5:$C$53,"ASIGNACION")</f>
        <v>0</v>
      </c>
      <c r="M13" s="12">
        <f>COUNTIFS(MOVIMIENTOS!$B$5:$B$53,"&gt;="&amp;O13,MOVIMIENTOS!$B$5:$B$53,"&lt;="&amp;P13,MOVIMIENTOS!$C$5:$C$53,"PERDIDA")</f>
        <v>0</v>
      </c>
      <c r="O13" s="12">
        <v>46419.0</v>
      </c>
      <c r="P13" s="12">
        <v>46446.0</v>
      </c>
      <c r="V13" s="10" t="s">
        <v>294</v>
      </c>
      <c r="X13" s="10" t="s">
        <v>555</v>
      </c>
    </row>
    <row r="14">
      <c r="G14" s="10" t="s">
        <v>69</v>
      </c>
      <c r="H14" s="12">
        <f>COUNTIFS(INVENTARIO_GENERAL!$F$5:$F$181,G14,INVENTARIO_GENERAL!$C$5:$C$181,"ASIGNADO")</f>
        <v>1</v>
      </c>
      <c r="J14" s="12" t="s">
        <v>557</v>
      </c>
      <c r="K14" s="12">
        <f>COUNTIFS(MOVIMIENTOS!$B$5:$B$53,"&gt;="&amp;O14,MOVIMIENTOS!$B$5:$B$53,"&lt;="&amp;P14)</f>
        <v>0</v>
      </c>
      <c r="L14" s="12">
        <f>COUNTIFS(MOVIMIENTOS!$B$5:$B$53,"&gt;="&amp;O14,MOVIMIENTOS!$B$5:$B$53,"&lt;="&amp;P14,MOVIMIENTOS!$C$5:$C$53,"ENTREGA INICIAL")+COUNTIFS(MOVIMIENTOS!$B$5:$B$53,"&gt;="&amp;O14,MOVIMIENTOS!$B$5:$B$53,"&lt;="&amp;P14,MOVIMIENTOS!$C$5:$C$53,"ASIGNACION")</f>
        <v>0</v>
      </c>
      <c r="M14" s="12">
        <f>COUNTIFS(MOVIMIENTOS!$B$5:$B$53,"&gt;="&amp;O14,MOVIMIENTOS!$B$5:$B$53,"&lt;="&amp;P14,MOVIMIENTOS!$C$5:$C$53,"PERDIDA")</f>
        <v>0</v>
      </c>
      <c r="O14" s="12">
        <v>46447.0</v>
      </c>
      <c r="P14" s="12">
        <v>46477.0</v>
      </c>
      <c r="V14" s="10" t="s">
        <v>135</v>
      </c>
      <c r="X14" s="10" t="s">
        <v>556</v>
      </c>
    </row>
    <row r="15">
      <c r="G15" s="10" t="s">
        <v>260</v>
      </c>
      <c r="H15" s="12">
        <f>COUNTIFS(INVENTARIO_GENERAL!$F$5:$F$181,G15,INVENTARIO_GENERAL!$C$5:$C$181,"ASIGNADO")</f>
        <v>1</v>
      </c>
      <c r="J15" s="12" t="s">
        <v>558</v>
      </c>
      <c r="K15" s="12">
        <f>COUNTIFS(MOVIMIENTOS!$B$5:$B$53,"&gt;="&amp;O15,MOVIMIENTOS!$B$5:$B$53,"&lt;="&amp;P15)</f>
        <v>0</v>
      </c>
      <c r="L15" s="12">
        <f>COUNTIFS(MOVIMIENTOS!$B$5:$B$53,"&gt;="&amp;O15,MOVIMIENTOS!$B$5:$B$53,"&lt;="&amp;P15,MOVIMIENTOS!$C$5:$C$53,"ENTREGA INICIAL")+COUNTIFS(MOVIMIENTOS!$B$5:$B$53,"&gt;="&amp;O15,MOVIMIENTOS!$B$5:$B$53,"&lt;="&amp;P15,MOVIMIENTOS!$C$5:$C$53,"ASIGNACION")</f>
        <v>0</v>
      </c>
      <c r="M15" s="12">
        <f>COUNTIFS(MOVIMIENTOS!$B$5:$B$53,"&gt;="&amp;O15,MOVIMIENTOS!$B$5:$B$53,"&lt;="&amp;P15,MOVIMIENTOS!$C$5:$C$53,"PERDIDA")</f>
        <v>0</v>
      </c>
      <c r="O15" s="12">
        <v>46478.0</v>
      </c>
      <c r="P15" s="12">
        <v>46507.0</v>
      </c>
      <c r="V15" s="10" t="s">
        <v>69</v>
      </c>
      <c r="X15" s="10" t="s">
        <v>557</v>
      </c>
    </row>
    <row r="16">
      <c r="G16" s="10" t="s">
        <v>305</v>
      </c>
      <c r="H16" s="12">
        <f>COUNTIFS(INVENTARIO_GENERAL!$F$5:$F$181,G16,INVENTARIO_GENERAL!$C$5:$C$181,"ASIGNADO")</f>
        <v>0</v>
      </c>
      <c r="V16" s="10" t="s">
        <v>197</v>
      </c>
      <c r="X16" s="10" t="s">
        <v>558</v>
      </c>
    </row>
    <row r="17">
      <c r="G17" s="10" t="s">
        <v>421</v>
      </c>
      <c r="H17" s="12">
        <f>COUNTIFS(INVENTARIO_GENERAL!$F$5:$F$181,G17,INVENTARIO_GENERAL!$C$5:$C$181,"ASIGNADO")</f>
        <v>0</v>
      </c>
      <c r="V17" s="10" t="s">
        <v>260</v>
      </c>
    </row>
    <row r="18">
      <c r="G18" s="10" t="s">
        <v>294</v>
      </c>
      <c r="H18" s="12">
        <f>COUNTIFS(INVENTARIO_GENERAL!$F$5:$F$181,G18,INVENTARIO_GENERAL!$C$5:$C$181,"ASIGNADO")</f>
        <v>0</v>
      </c>
      <c r="V18" s="10" t="s">
        <v>217</v>
      </c>
    </row>
    <row r="19">
      <c r="G19" s="10" t="s">
        <v>279</v>
      </c>
      <c r="H19" s="12">
        <f>COUNTIFS(INVENTARIO_GENERAL!$F$5:$F$181,G19,INVENTARIO_GENERAL!$C$5:$C$181,"ASIGNADO")</f>
        <v>0</v>
      </c>
      <c r="V19" s="10" t="s">
        <v>115</v>
      </c>
    </row>
    <row r="20">
      <c r="A20" s="15" t="s">
        <v>559</v>
      </c>
      <c r="B20" s="15" t="s">
        <v>92</v>
      </c>
      <c r="C20" s="15" t="s">
        <v>104</v>
      </c>
      <c r="D20" s="15" t="s">
        <v>29</v>
      </c>
      <c r="E20" s="15" t="s">
        <v>223</v>
      </c>
      <c r="V20" s="10" t="s">
        <v>279</v>
      </c>
    </row>
    <row r="21" ht="15.75" customHeight="1">
      <c r="A21" s="10" t="s">
        <v>95</v>
      </c>
      <c r="B21" s="12">
        <f>COUNTIFS(INVENTARIO_GENERAL!$G$5:$G$181,$A21,INVENTARIO_GENERAL!$C$5:$C$181,B$20)</f>
        <v>18</v>
      </c>
      <c r="C21" s="12">
        <f>COUNTIFS(INVENTARIO_GENERAL!$G$5:$G$181,$A21,INVENTARIO_GENERAL!$C$5:$C$181,C$20)</f>
        <v>2</v>
      </c>
      <c r="D21" s="12">
        <f>COUNTIFS(INVENTARIO_GENERAL!$G$5:$G$181,$A21,INVENTARIO_GENERAL!$C$5:$C$181,D$20)</f>
        <v>10</v>
      </c>
      <c r="E21" s="12">
        <f>COUNTIFS(INVENTARIO_GENERAL!$G$5:$G$181,$A21,INVENTARIO_GENERAL!$C$5:$C$181,E$20)</f>
        <v>0</v>
      </c>
    </row>
    <row r="22" ht="15.75" customHeight="1">
      <c r="A22" s="10" t="s">
        <v>123</v>
      </c>
      <c r="B22" s="12">
        <f>COUNTIFS(INVENTARIO_GENERAL!$G$5:$G$181,$A22,INVENTARIO_GENERAL!$C$5:$C$181,B$20)</f>
        <v>28</v>
      </c>
      <c r="C22" s="12">
        <f>COUNTIFS(INVENTARIO_GENERAL!$G$5:$G$181,$A22,INVENTARIO_GENERAL!$C$5:$C$181,C$20)</f>
        <v>1</v>
      </c>
      <c r="D22" s="12">
        <f>COUNTIFS(INVENTARIO_GENERAL!$G$5:$G$181,$A22,INVENTARIO_GENERAL!$C$5:$C$181,D$20)</f>
        <v>10</v>
      </c>
      <c r="E22" s="12">
        <f>COUNTIFS(INVENTARIO_GENERAL!$G$5:$G$181,$A22,INVENTARIO_GENERAL!$C$5:$C$181,E$20)</f>
        <v>0</v>
      </c>
    </row>
    <row r="23" ht="15.75" customHeight="1">
      <c r="A23" s="10" t="s">
        <v>136</v>
      </c>
      <c r="B23" s="12">
        <f>COUNTIFS(INVENTARIO_GENERAL!$G$5:$G$181,$A23,INVENTARIO_GENERAL!$C$5:$C$181,B$20)</f>
        <v>10</v>
      </c>
      <c r="C23" s="12">
        <f>COUNTIFS(INVENTARIO_GENERAL!$G$5:$G$181,$A23,INVENTARIO_GENERAL!$C$5:$C$181,C$20)</f>
        <v>0</v>
      </c>
      <c r="D23" s="12">
        <f>COUNTIFS(INVENTARIO_GENERAL!$G$5:$G$181,$A23,INVENTARIO_GENERAL!$C$5:$C$181,D$20)</f>
        <v>0</v>
      </c>
      <c r="E23" s="12">
        <f>COUNTIFS(INVENTARIO_GENERAL!$G$5:$G$181,$A23,INVENTARIO_GENERAL!$C$5:$C$181,E$20)</f>
        <v>0</v>
      </c>
    </row>
    <row r="24" ht="15.75" customHeight="1">
      <c r="A24" s="10" t="s">
        <v>198</v>
      </c>
      <c r="B24" s="12">
        <f>COUNTIFS(INVENTARIO_GENERAL!$G$5:$G$181,$A24,INVENTARIO_GENERAL!$C$5:$C$181,B$20)</f>
        <v>11</v>
      </c>
      <c r="C24" s="12">
        <f>COUNTIFS(INVENTARIO_GENERAL!$G$5:$G$181,$A24,INVENTARIO_GENERAL!$C$5:$C$181,C$20)</f>
        <v>65</v>
      </c>
      <c r="D24" s="12">
        <f>COUNTIFS(INVENTARIO_GENERAL!$G$5:$G$181,$A24,INVENTARIO_GENERAL!$C$5:$C$181,D$20)</f>
        <v>8</v>
      </c>
      <c r="E24" s="12">
        <f>COUNTIFS(INVENTARIO_GENERAL!$G$5:$G$181,$A24,INVENTARIO_GENERAL!$C$5:$C$181,E$20)</f>
        <v>1</v>
      </c>
    </row>
    <row r="25" ht="15.75" customHeight="1">
      <c r="A25" s="10" t="s">
        <v>116</v>
      </c>
      <c r="B25" s="12">
        <f>COUNTIFS(INVENTARIO_GENERAL!$G$5:$G$181,$A25,INVENTARIO_GENERAL!$C$5:$C$181,B$20)</f>
        <v>6</v>
      </c>
      <c r="C25" s="12">
        <f>COUNTIFS(INVENTARIO_GENERAL!$G$5:$G$181,$A25,INVENTARIO_GENERAL!$C$5:$C$181,C$20)</f>
        <v>0</v>
      </c>
      <c r="D25" s="12">
        <f>COUNTIFS(INVENTARIO_GENERAL!$G$5:$G$181,$A25,INVENTARIO_GENERAL!$C$5:$C$181,D$20)</f>
        <v>0</v>
      </c>
      <c r="E25" s="12">
        <f>COUNTIFS(INVENTARIO_GENERAL!$G$5:$G$181,$A25,INVENTARIO_GENERAL!$C$5:$C$181,E$20)</f>
        <v>0</v>
      </c>
    </row>
    <row r="26" ht="15.75" customHeight="1">
      <c r="A26" s="10" t="s">
        <v>280</v>
      </c>
      <c r="B26" s="12">
        <f>COUNTIFS(INVENTARIO_GENERAL!$G$5:$G$181,$A26,INVENTARIO_GENERAL!$C$5:$C$181,B$20)</f>
        <v>0</v>
      </c>
      <c r="C26" s="12">
        <f>COUNTIFS(INVENTARIO_GENERAL!$G$5:$G$181,$A26,INVENTARIO_GENERAL!$C$5:$C$181,C$20)</f>
        <v>0</v>
      </c>
      <c r="D26" s="12">
        <f>COUNTIFS(INVENTARIO_GENERAL!$G$5:$G$181,$A26,INVENTARIO_GENERAL!$C$5:$C$181,D$20)</f>
        <v>7</v>
      </c>
      <c r="E26" s="12">
        <f>COUNTIFS(INVENTARIO_GENERAL!$G$5:$G$181,$A26,INVENTARIO_GENERAL!$C$5:$C$181,E$20)</f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6" footer="0.0" header="0.0" left="0.5" right="0.5" top="0.6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2026-06-08T02:38:11Z</dcterms:created>
</cp:coreProperties>
</file>